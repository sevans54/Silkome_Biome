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eva\Desktop\Data\Cyclic\"/>
    </mc:Choice>
  </mc:AlternateContent>
  <xr:revisionPtr revIDLastSave="0" documentId="8_{E211FC7A-5E76-4505-8BB8-0E67AE249031}" xr6:coauthVersionLast="47" xr6:coauthVersionMax="47" xr10:uidLastSave="{00000000-0000-0000-0000-000000000000}"/>
  <bookViews>
    <workbookView xWindow="-108" yWindow="-108" windowWidth="23256" windowHeight="12456" activeTab="1" xr2:uid="{3CE0A4F7-B0A8-4E98-9FB7-5428AE8181E8}"/>
  </bookViews>
  <sheets>
    <sheet name="Cyclic_avg_sd_NorthernHemispher" sheetId="1" r:id="rId1"/>
    <sheet name="Sheet2" sheetId="3" r:id="rId2"/>
  </sheets>
  <definedNames>
    <definedName name="_xlnm._FilterDatabase" localSheetId="0" hidden="1">Cyclic_avg_sd_NorthernHemispher!$C$1:$C$393</definedName>
  </definedNames>
  <calcPr calcId="0"/>
</workbook>
</file>

<file path=xl/calcChain.xml><?xml version="1.0" encoding="utf-8"?>
<calcChain xmlns="http://schemas.openxmlformats.org/spreadsheetml/2006/main">
  <c r="AI11" i="1" l="1"/>
  <c r="AC4" i="1"/>
  <c r="AD4" i="1" a="1"/>
  <c r="AD4" i="1" s="1"/>
  <c r="AE4" i="1"/>
  <c r="AF4" i="1" a="1"/>
  <c r="AF4" i="1" s="1"/>
  <c r="AG4" i="1"/>
  <c r="AH4" i="1" a="1"/>
  <c r="AH4" i="1" s="1"/>
  <c r="AI4" i="1"/>
  <c r="AJ4" i="1" a="1"/>
  <c r="AJ4" i="1" s="1"/>
  <c r="AK4" i="1"/>
  <c r="AL4" i="1" a="1"/>
  <c r="AL4" i="1" s="1"/>
  <c r="AM4" i="1"/>
  <c r="AN4" i="1" a="1"/>
  <c r="AN4" i="1" s="1"/>
  <c r="AO4" i="1"/>
  <c r="AP4" i="1" a="1"/>
  <c r="AP4" i="1" s="1"/>
  <c r="AQ4" i="1"/>
  <c r="AR4" i="1" a="1"/>
  <c r="AR4" i="1" s="1"/>
  <c r="AS4" i="1"/>
  <c r="AT4" i="1" a="1"/>
  <c r="AT4" i="1" s="1"/>
  <c r="AU4" i="1"/>
  <c r="AV4" i="1" a="1"/>
  <c r="AV4" i="1" s="1"/>
  <c r="AW4" i="1"/>
  <c r="AX4" i="1" a="1"/>
  <c r="AX4" i="1" s="1"/>
  <c r="AC5" i="1"/>
  <c r="AD5" i="1" a="1"/>
  <c r="AD5" i="1" s="1"/>
  <c r="AE5" i="1"/>
  <c r="AF5" i="1" a="1"/>
  <c r="AF5" i="1" s="1"/>
  <c r="AG5" i="1"/>
  <c r="AH5" i="1" a="1"/>
  <c r="AH5" i="1" s="1"/>
  <c r="AI5" i="1"/>
  <c r="AJ5" i="1" a="1"/>
  <c r="AJ5" i="1" s="1"/>
  <c r="AK5" i="1"/>
  <c r="AL5" i="1" a="1"/>
  <c r="AL5" i="1" s="1"/>
  <c r="AM5" i="1"/>
  <c r="AN5" i="1" a="1"/>
  <c r="AN5" i="1" s="1"/>
  <c r="AO5" i="1"/>
  <c r="AP5" i="1" a="1"/>
  <c r="AP5" i="1" s="1"/>
  <c r="AQ5" i="1"/>
  <c r="AR5" i="1" a="1"/>
  <c r="AR5" i="1" s="1"/>
  <c r="AS5" i="1"/>
  <c r="AT5" i="1" a="1"/>
  <c r="AT5" i="1" s="1"/>
  <c r="AU5" i="1"/>
  <c r="AV5" i="1" a="1"/>
  <c r="AV5" i="1" s="1"/>
  <c r="AW5" i="1"/>
  <c r="AX5" i="1" a="1"/>
  <c r="AX5" i="1" s="1"/>
  <c r="AY5" i="1"/>
  <c r="AZ5" i="1" a="1"/>
  <c r="AZ5" i="1" s="1"/>
  <c r="AC6" i="1"/>
  <c r="AD6" i="1" a="1"/>
  <c r="AD6" i="1" s="1"/>
  <c r="AE6" i="1"/>
  <c r="AF6" i="1" a="1"/>
  <c r="AF6" i="1" s="1"/>
  <c r="AG6" i="1"/>
  <c r="AH6" i="1" a="1"/>
  <c r="AH6" i="1" s="1"/>
  <c r="AI6" i="1"/>
  <c r="AJ6" i="1" a="1"/>
  <c r="AJ6" i="1" s="1"/>
  <c r="AK6" i="1"/>
  <c r="AL6" i="1" a="1"/>
  <c r="AL6" i="1" s="1"/>
  <c r="AM6" i="1"/>
  <c r="AN6" i="1" a="1"/>
  <c r="AN6" i="1" s="1"/>
  <c r="AO6" i="1"/>
  <c r="AP6" i="1" a="1"/>
  <c r="AP6" i="1" s="1"/>
  <c r="AQ6" i="1"/>
  <c r="AR6" i="1" a="1"/>
  <c r="AR6" i="1" s="1"/>
  <c r="AS6" i="1"/>
  <c r="AT6" i="1" a="1"/>
  <c r="AT6" i="1" s="1"/>
  <c r="AU6" i="1"/>
  <c r="AV6" i="1" a="1"/>
  <c r="AV6" i="1" s="1"/>
  <c r="AW6" i="1"/>
  <c r="AX6" i="1" a="1"/>
  <c r="AX6" i="1" s="1"/>
  <c r="AY6" i="1"/>
  <c r="AZ6" i="1" a="1"/>
  <c r="AZ6" i="1" s="1"/>
  <c r="AC7" i="1"/>
  <c r="AD7" i="1" a="1"/>
  <c r="AD7" i="1" s="1"/>
  <c r="AE7" i="1"/>
  <c r="AF7" i="1" a="1"/>
  <c r="AF7" i="1" s="1"/>
  <c r="AG7" i="1"/>
  <c r="AH7" i="1" a="1"/>
  <c r="AH7" i="1" s="1"/>
  <c r="AI7" i="1"/>
  <c r="AJ7" i="1" a="1"/>
  <c r="AJ7" i="1" s="1"/>
  <c r="AK7" i="1"/>
  <c r="AL7" i="1" a="1"/>
  <c r="AL7" i="1" s="1"/>
  <c r="AM7" i="1"/>
  <c r="AN7" i="1" a="1"/>
  <c r="AN7" i="1" s="1"/>
  <c r="AO7" i="1"/>
  <c r="AP7" i="1" a="1"/>
  <c r="AP7" i="1" s="1"/>
  <c r="AQ7" i="1"/>
  <c r="AR7" i="1" a="1"/>
  <c r="AR7" i="1" s="1"/>
  <c r="AS7" i="1"/>
  <c r="AT7" i="1" a="1"/>
  <c r="AT7" i="1"/>
  <c r="AU7" i="1"/>
  <c r="AV7" i="1" a="1"/>
  <c r="AV7" i="1" s="1"/>
  <c r="AW7" i="1"/>
  <c r="AX7" i="1" a="1"/>
  <c r="AX7" i="1" s="1"/>
  <c r="AY7" i="1"/>
  <c r="AZ7" i="1" a="1"/>
  <c r="AZ7" i="1" s="1"/>
  <c r="AC8" i="1"/>
  <c r="AD8" i="1" a="1"/>
  <c r="AD8" i="1" s="1"/>
  <c r="AE8" i="1"/>
  <c r="AF8" i="1" a="1"/>
  <c r="AF8" i="1" s="1"/>
  <c r="AG8" i="1"/>
  <c r="AH8" i="1" a="1"/>
  <c r="AH8" i="1" s="1"/>
  <c r="AI8" i="1"/>
  <c r="AJ8" i="1" a="1"/>
  <c r="AJ8" i="1" s="1"/>
  <c r="AK8" i="1"/>
  <c r="AL8" i="1" a="1"/>
  <c r="AL8" i="1" s="1"/>
  <c r="AM8" i="1"/>
  <c r="AN8" i="1" a="1"/>
  <c r="AN8" i="1" s="1"/>
  <c r="AO8" i="1"/>
  <c r="AP8" i="1" a="1"/>
  <c r="AP8" i="1" s="1"/>
  <c r="AQ8" i="1"/>
  <c r="AR8" i="1" a="1"/>
  <c r="AR8" i="1" s="1"/>
  <c r="AS8" i="1"/>
  <c r="AT8" i="1" a="1"/>
  <c r="AT8" i="1" s="1"/>
  <c r="AU8" i="1"/>
  <c r="AV8" i="1" a="1"/>
  <c r="AV8" i="1" s="1"/>
  <c r="AW8" i="1"/>
  <c r="AX8" i="1" a="1"/>
  <c r="AX8" i="1" s="1"/>
  <c r="AY8" i="1"/>
  <c r="AZ8" i="1" a="1"/>
  <c r="AZ8" i="1" s="1"/>
  <c r="AC9" i="1"/>
  <c r="AD9" i="1" a="1"/>
  <c r="AD9" i="1" s="1"/>
  <c r="AE9" i="1"/>
  <c r="AF9" i="1" a="1"/>
  <c r="AF9" i="1" s="1"/>
  <c r="AG9" i="1"/>
  <c r="AH9" i="1" a="1"/>
  <c r="AH9" i="1" s="1"/>
  <c r="AI9" i="1"/>
  <c r="AJ9" i="1" a="1"/>
  <c r="AJ9" i="1"/>
  <c r="AK9" i="1"/>
  <c r="AL9" i="1" a="1"/>
  <c r="AL9" i="1" s="1"/>
  <c r="AM9" i="1"/>
  <c r="AN9" i="1" a="1"/>
  <c r="AN9" i="1" s="1"/>
  <c r="AO9" i="1"/>
  <c r="AP9" i="1" a="1"/>
  <c r="AP9" i="1" s="1"/>
  <c r="AQ9" i="1"/>
  <c r="AR9" i="1" a="1"/>
  <c r="AR9" i="1" s="1"/>
  <c r="AS9" i="1"/>
  <c r="AT9" i="1" a="1"/>
  <c r="AT9" i="1" s="1"/>
  <c r="AU9" i="1"/>
  <c r="AV9" i="1" a="1"/>
  <c r="AV9" i="1" s="1"/>
  <c r="AW9" i="1"/>
  <c r="AX9" i="1" a="1"/>
  <c r="AX9" i="1" s="1"/>
  <c r="AY9" i="1"/>
  <c r="AZ9" i="1" a="1"/>
  <c r="AZ9" i="1"/>
  <c r="AC10" i="1"/>
  <c r="AD10" i="1" a="1"/>
  <c r="AD10" i="1" s="1"/>
  <c r="AE10" i="1"/>
  <c r="AF10" i="1" a="1"/>
  <c r="AF10" i="1" s="1"/>
  <c r="AG10" i="1"/>
  <c r="AH10" i="1" a="1"/>
  <c r="AH10" i="1" s="1"/>
  <c r="AI10" i="1"/>
  <c r="AJ10" i="1" a="1"/>
  <c r="AJ10" i="1" s="1"/>
  <c r="AK10" i="1"/>
  <c r="AL10" i="1" a="1"/>
  <c r="AL10" i="1" s="1"/>
  <c r="AM10" i="1"/>
  <c r="AN10" i="1" a="1"/>
  <c r="AN10" i="1" s="1"/>
  <c r="AO10" i="1"/>
  <c r="AP10" i="1" a="1"/>
  <c r="AP10" i="1" s="1"/>
  <c r="AQ10" i="1"/>
  <c r="AR10" i="1" a="1"/>
  <c r="AR10" i="1" s="1"/>
  <c r="AS10" i="1"/>
  <c r="AT10" i="1" a="1"/>
  <c r="AT10" i="1" s="1"/>
  <c r="AU10" i="1"/>
  <c r="AV10" i="1" a="1"/>
  <c r="AV10" i="1" s="1"/>
  <c r="AW10" i="1"/>
  <c r="AX10" i="1" a="1"/>
  <c r="AX10" i="1" s="1"/>
  <c r="AY10" i="1"/>
  <c r="AZ10" i="1" a="1"/>
  <c r="AZ10" i="1" s="1"/>
  <c r="AC11" i="1"/>
  <c r="AD11" i="1" a="1"/>
  <c r="AD11" i="1" s="1"/>
  <c r="AE11" i="1"/>
  <c r="AF11" i="1" a="1"/>
  <c r="AF11" i="1" s="1"/>
  <c r="AG11" i="1"/>
  <c r="AH11" i="1" a="1"/>
  <c r="AH11" i="1" s="1"/>
  <c r="AJ11" i="1" a="1"/>
  <c r="AJ11" i="1" s="1"/>
  <c r="AK11" i="1"/>
  <c r="AL11" i="1" a="1"/>
  <c r="AL11" i="1" s="1"/>
  <c r="AM11" i="1"/>
  <c r="AN11" i="1" a="1"/>
  <c r="AN11" i="1" s="1"/>
  <c r="AO11" i="1"/>
  <c r="AP11" i="1" a="1"/>
  <c r="AP11" i="1" s="1"/>
  <c r="AQ11" i="1"/>
  <c r="AR11" i="1" a="1"/>
  <c r="AR11" i="1" s="1"/>
  <c r="AS11" i="1"/>
  <c r="AT11" i="1" a="1"/>
  <c r="AT11" i="1" s="1"/>
  <c r="AU11" i="1"/>
  <c r="AV11" i="1" a="1"/>
  <c r="AV11" i="1" s="1"/>
  <c r="AW11" i="1"/>
  <c r="AX11" i="1" a="1"/>
  <c r="AX11" i="1" s="1"/>
  <c r="AY11" i="1"/>
  <c r="AZ11" i="1" a="1"/>
  <c r="AZ11" i="1" s="1"/>
  <c r="AC12" i="1"/>
  <c r="AD12" i="1" a="1"/>
  <c r="AD12" i="1" s="1"/>
  <c r="AE12" i="1"/>
  <c r="AF12" i="1" a="1"/>
  <c r="AF12" i="1" s="1"/>
  <c r="AG12" i="1"/>
  <c r="AH12" i="1" a="1"/>
  <c r="AH12" i="1" s="1"/>
  <c r="AI12" i="1"/>
  <c r="AJ12" i="1" a="1"/>
  <c r="AJ12" i="1" s="1"/>
  <c r="AK12" i="1"/>
  <c r="AL12" i="1" a="1"/>
  <c r="AL12" i="1" s="1"/>
  <c r="AM12" i="1"/>
  <c r="AN12" i="1" a="1"/>
  <c r="AN12" i="1" s="1"/>
  <c r="AO12" i="1"/>
  <c r="AP12" i="1" a="1"/>
  <c r="AP12" i="1" s="1"/>
  <c r="AQ12" i="1"/>
  <c r="AR12" i="1" a="1"/>
  <c r="AR12" i="1" s="1"/>
  <c r="AS12" i="1"/>
  <c r="AT12" i="1" a="1"/>
  <c r="AT12" i="1" s="1"/>
  <c r="AU12" i="1"/>
  <c r="AV12" i="1" a="1"/>
  <c r="AV12" i="1" s="1"/>
  <c r="AW12" i="1"/>
  <c r="AX12" i="1" a="1"/>
  <c r="AX12" i="1" s="1"/>
  <c r="AY12" i="1"/>
  <c r="AZ12" i="1" a="1"/>
  <c r="AZ12" i="1" s="1"/>
  <c r="AC13" i="1"/>
  <c r="AD13" i="1" a="1"/>
  <c r="AD13" i="1" s="1"/>
  <c r="AE13" i="1"/>
  <c r="AF13" i="1" a="1"/>
  <c r="AF13" i="1" s="1"/>
  <c r="AG13" i="1"/>
  <c r="AH13" i="1" a="1"/>
  <c r="AH13" i="1" s="1"/>
  <c r="AI13" i="1"/>
  <c r="AJ13" i="1" a="1"/>
  <c r="AJ13" i="1" s="1"/>
  <c r="AK13" i="1"/>
  <c r="AL13" i="1" a="1"/>
  <c r="AL13" i="1" s="1"/>
  <c r="AM13" i="1"/>
  <c r="AN13" i="1" a="1"/>
  <c r="AN13" i="1" s="1"/>
  <c r="AO13" i="1"/>
  <c r="AP13" i="1" a="1"/>
  <c r="AP13" i="1" s="1"/>
  <c r="AQ13" i="1"/>
  <c r="AR13" i="1" a="1"/>
  <c r="AR13" i="1" s="1"/>
  <c r="AS13" i="1"/>
  <c r="AT13" i="1" a="1"/>
  <c r="AT13" i="1" s="1"/>
  <c r="AU13" i="1"/>
  <c r="AV13" i="1" a="1"/>
  <c r="AV13" i="1" s="1"/>
  <c r="AW13" i="1"/>
  <c r="AX13" i="1" a="1"/>
  <c r="AX13" i="1" s="1"/>
  <c r="AY13" i="1"/>
  <c r="AZ13" i="1" a="1"/>
  <c r="AZ13" i="1" s="1"/>
  <c r="AN2" i="1" a="1"/>
  <c r="AN2" i="1" s="1"/>
  <c r="AM2" i="1"/>
  <c r="AR2" i="1" a="1"/>
  <c r="AR2" i="1" s="1"/>
  <c r="AQ2" i="1"/>
  <c r="AZ2" i="1" a="1"/>
  <c r="AZ2" i="1" s="1"/>
  <c r="AY2" i="1"/>
  <c r="AE2" i="1"/>
  <c r="AF2" i="1" a="1"/>
  <c r="AF2" i="1" s="1"/>
  <c r="AG2" i="1"/>
  <c r="AH2" i="1" a="1"/>
  <c r="AH2" i="1" s="1"/>
  <c r="AI2" i="1"/>
  <c r="AJ2" i="1" a="1"/>
  <c r="AJ2" i="1" s="1"/>
  <c r="AK2" i="1"/>
  <c r="AL2" i="1" a="1"/>
  <c r="AL2" i="1" s="1"/>
  <c r="AO2" i="1"/>
  <c r="AP2" i="1" a="1"/>
  <c r="AP2" i="1" s="1"/>
  <c r="AS2" i="1"/>
  <c r="AT2" i="1" a="1"/>
  <c r="AT2" i="1" s="1"/>
  <c r="AU2" i="1"/>
  <c r="AV2" i="1" a="1"/>
  <c r="AV2" i="1" s="1"/>
  <c r="AW2" i="1"/>
  <c r="AX2" i="1" a="1"/>
  <c r="AX2" i="1" s="1"/>
  <c r="AD2" i="1" a="1"/>
  <c r="AD2" i="1" s="1"/>
  <c r="A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<sst xmlns="http://schemas.openxmlformats.org/spreadsheetml/2006/main" count="452" uniqueCount="49">
  <si>
    <t>month_fraction</t>
  </si>
  <si>
    <t>year</t>
  </si>
  <si>
    <t>month</t>
  </si>
  <si>
    <t>day</t>
  </si>
  <si>
    <t>country</t>
  </si>
  <si>
    <t>size</t>
  </si>
  <si>
    <t>toughness</t>
  </si>
  <si>
    <t>toughness_sd</t>
  </si>
  <si>
    <t>young's_modulus</t>
  </si>
  <si>
    <t>young's_modulus_sd</t>
  </si>
  <si>
    <t>tensile_strength</t>
  </si>
  <si>
    <t>tensile_strength_sd</t>
  </si>
  <si>
    <t>strain_at_break</t>
  </si>
  <si>
    <t>strain_at_break_sd</t>
  </si>
  <si>
    <t>one_percent_weightloss</t>
  </si>
  <si>
    <t>five_percent_weightloss</t>
  </si>
  <si>
    <t>ten_percent_weightloss</t>
  </si>
  <si>
    <t>crystallinity</t>
  </si>
  <si>
    <t>birefringence</t>
  </si>
  <si>
    <t>birefringence_sd</t>
  </si>
  <si>
    <t>diameter</t>
  </si>
  <si>
    <t>diameter_sd</t>
  </si>
  <si>
    <t>water_content</t>
  </si>
  <si>
    <t>supercontraction</t>
  </si>
  <si>
    <t>supercontraction_sd</t>
  </si>
  <si>
    <t>one_percent_weightloss_sd</t>
  </si>
  <si>
    <t>five_percent_weightloss_sd</t>
  </si>
  <si>
    <t>ten_percent_weightloss_sd</t>
  </si>
  <si>
    <t>crystallinity_sd</t>
  </si>
  <si>
    <t>water_content_sd</t>
  </si>
  <si>
    <t>India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</si>
  <si>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</si>
  <si>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</si>
  <si>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</si>
  <si>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</si>
  <si>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</si>
  <si>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</si>
  <si>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</si>
  <si>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</si>
  <si>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</si>
  <si>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</si>
  <si>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</si>
  <si>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</si>
  <si>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Japan</t>
  </si>
  <si>
    <t>Malaysia</t>
  </si>
  <si>
    <t>China</t>
  </si>
  <si>
    <t>United States</t>
  </si>
  <si>
    <t>United Kingdom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</si>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</sst>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C6FB-54C0-47BB-BD00-B28EC9F49273}">
  <dimension ref="A1:AZ393"/>
  <sheetViews>
    <sheetView workbookViewId="0">
      <selection activeCell="C1" sqref="C1:C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C1" t="s">
        <v>6</v>
      </c>
      <c r="AD1" t="s">
        <v>7</v>
      </c>
      <c r="AE1" t="s">
        <v>8</v>
      </c>
      <c r="AF1" t="s">
        <v>9</v>
      </c>
      <c r="AG1" t="s">
        <v>10</v>
      </c>
      <c r="AH1" t="s">
        <v>11</v>
      </c>
      <c r="AI1" t="s">
        <v>12</v>
      </c>
      <c r="AJ1" t="s">
        <v>13</v>
      </c>
      <c r="AK1" t="s">
        <v>14</v>
      </c>
      <c r="AL1" t="s">
        <v>25</v>
      </c>
      <c r="AM1" t="s">
        <v>15</v>
      </c>
      <c r="AN1" t="s">
        <v>26</v>
      </c>
      <c r="AO1" t="s">
        <v>16</v>
      </c>
      <c r="AP1" t="s">
        <v>27</v>
      </c>
      <c r="AQ1" t="s">
        <v>17</v>
      </c>
      <c r="AR1" t="s">
        <v>28</v>
      </c>
      <c r="AS1" t="s">
        <v>18</v>
      </c>
      <c r="AT1" t="s">
        <v>19</v>
      </c>
      <c r="AU1" t="s">
        <v>20</v>
      </c>
      <c r="AV1" t="s">
        <v>21</v>
      </c>
      <c r="AW1" t="s">
        <v>29</v>
      </c>
      <c r="AX1" t="s">
        <v>22</v>
      </c>
      <c r="AY1" t="s">
        <v>24</v>
      </c>
      <c r="AZ1" t="s">
        <v>23</v>
      </c>
    </row>
    <row r="2" spans="1:52" x14ac:dyDescent="0.3">
      <c r="A2">
        <v>1.8</v>
      </c>
      <c r="B2">
        <v>2017</v>
      </c>
      <c r="C2">
        <v>1</v>
      </c>
      <c r="D2">
        <v>24</v>
      </c>
      <c r="E2" t="s">
        <v>30</v>
      </c>
      <c r="F2">
        <v>13</v>
      </c>
      <c r="G2">
        <v>0.21199999999999999</v>
      </c>
      <c r="H2">
        <v>5.5E-2</v>
      </c>
      <c r="I2">
        <v>7.16</v>
      </c>
      <c r="J2">
        <v>2.5299999999999998</v>
      </c>
      <c r="K2">
        <v>1.52</v>
      </c>
      <c r="L2">
        <v>0.27</v>
      </c>
      <c r="M2">
        <v>31.4</v>
      </c>
      <c r="N2">
        <v>3.6</v>
      </c>
      <c r="O2">
        <v>241</v>
      </c>
      <c r="P2">
        <v>287</v>
      </c>
      <c r="Q2">
        <v>305</v>
      </c>
      <c r="R2">
        <v>15</v>
      </c>
      <c r="S2">
        <v>33.799999999999997</v>
      </c>
      <c r="T2">
        <v>2.1</v>
      </c>
      <c r="U2">
        <v>2.0499999999999998</v>
      </c>
      <c r="V2">
        <v>0.03</v>
      </c>
      <c r="W2">
        <v>7.6</v>
      </c>
      <c r="X2">
        <v>45.2</v>
      </c>
      <c r="Y2">
        <v>14.3</v>
      </c>
      <c r="AA2" t="s">
        <v>31</v>
      </c>
      <c r="AB2">
        <v>1</v>
      </c>
      <c r="AC2">
        <f>AVERAGEIF($C:$C,$AB2,G:G)</f>
        <v>0.1036111111111111</v>
      </c>
      <c r="AD2" cm="1">
        <f t="array" ref="AD2">_xlfn.STDEV.P(IF($C:$C=$AB2,G:G))</f>
        <v>5.2236788748595893E-2</v>
      </c>
      <c r="AE2">
        <f t="shared" ref="AE2" si="0">AVERAGEIF($C:$C,$AB2,I:I)</f>
        <v>5.7255555555555553</v>
      </c>
      <c r="AF2" cm="1">
        <f t="array" ref="AF2">_xlfn.STDEV.P(IF($C:$C=$AB2,I:I))</f>
        <v>2.3329695483611128</v>
      </c>
      <c r="AG2">
        <f t="shared" ref="AG2" si="1">AVERAGEIF($C:$C,$AB2,K:K)</f>
        <v>1.0305555555555559</v>
      </c>
      <c r="AH2" cm="1">
        <f t="array" ref="AH2">_xlfn.STDEV.P(IF($C:$C=$AB2,K:K))</f>
        <v>0.39684130920477223</v>
      </c>
      <c r="AI2">
        <f t="shared" ref="AI2" si="2">AVERAGEIF($C:$C,$AB2,M:M)</f>
        <v>20.299999999999997</v>
      </c>
      <c r="AJ2" cm="1">
        <f t="array" ref="AJ2">_xlfn.STDEV.P(IF($C:$C=$AB2,M:M))</f>
        <v>6.6543219038456574</v>
      </c>
      <c r="AK2">
        <f t="shared" ref="AK2" si="3">AVERAGEIF($C:$C,$AB2,O:O)</f>
        <v>218.66666666666666</v>
      </c>
      <c r="AL2" cm="1">
        <f t="array" ref="AL2">_xlfn.STDEV.P(IF($C:$C=$AB2,O:O))</f>
        <v>109.65349464968679</v>
      </c>
      <c r="AM2">
        <f>AVERAGEIF($C:$C,$AB2,P:P)</f>
        <v>280.88888888888891</v>
      </c>
      <c r="AN2" cm="1">
        <f t="array" ref="AN2">_xlfn.STDEV.P(IF($C:$C=$AB2,P:P))</f>
        <v>140.49247596390754</v>
      </c>
      <c r="AO2">
        <f>AVERAGEIF($C:$C,$AB2,Q:Q)</f>
        <v>303.88888888888891</v>
      </c>
      <c r="AP2" cm="1">
        <f t="array" ref="AP2">_xlfn.STDEV.P(IF($C:$C=$AB2,Q:Q))</f>
        <v>151.98116558099568</v>
      </c>
      <c r="AQ2">
        <f>AVERAGEIF($C:$C,$AB2,R:R)</f>
        <v>18.1875</v>
      </c>
      <c r="AR2" cm="1">
        <f t="array" ref="AR2">_xlfn.STDEV.P(IF($C:$C=$AB2,R:R))</f>
        <v>6.93020762876393</v>
      </c>
      <c r="AS2">
        <f>AVERAGEIF($C:$C,$AB2,S:S)</f>
        <v>47.250000000000007</v>
      </c>
      <c r="AT2" cm="1">
        <f t="array" ref="AT2">_xlfn.STDEV.P(IF($C:$C=$AB2,S:S))</f>
        <v>17.013662810289315</v>
      </c>
      <c r="AU2">
        <f>AVERAGEIF($C:$C,$AB2,U:U)</f>
        <v>1.3983333333333334</v>
      </c>
      <c r="AV2" cm="1">
        <f t="array" ref="AV2">_xlfn.STDEV.P(IF($C:$C=$AB2,U:U))</f>
        <v>0.71039308367504028</v>
      </c>
      <c r="AW2">
        <f>AVERAGEIF($C:$C,$AB2,W:W)</f>
        <v>7.0333333333333341</v>
      </c>
      <c r="AX2" cm="1">
        <f t="array" ref="AX2">_xlfn.STDEV.P(IF($C:$C=$AB2,W:W))</f>
        <v>4.0145914417838888</v>
      </c>
      <c r="AY2">
        <f>AVERAGEIF($C:$C,$AB2,X:X)</f>
        <v>21.557142857142857</v>
      </c>
      <c r="AZ2" cm="1">
        <f t="array" ref="AZ2">_xlfn.STDEV.P(IF($C:$C=$AB2,X:X))</f>
        <v>14.843751023391777</v>
      </c>
    </row>
    <row r="3" spans="1:52" x14ac:dyDescent="0.3">
      <c r="A3">
        <v>1.8</v>
      </c>
      <c r="B3">
        <v>2017</v>
      </c>
      <c r="C3">
        <v>1</v>
      </c>
      <c r="D3">
        <v>24</v>
      </c>
      <c r="E3" t="s">
        <v>30</v>
      </c>
      <c r="F3">
        <v>9</v>
      </c>
      <c r="G3">
        <v>0.182</v>
      </c>
      <c r="H3">
        <v>4.5999999999999999E-2</v>
      </c>
      <c r="I3">
        <v>6.67</v>
      </c>
      <c r="J3">
        <v>3.06</v>
      </c>
      <c r="K3">
        <v>0.86</v>
      </c>
      <c r="L3">
        <v>0.1</v>
      </c>
      <c r="M3">
        <v>36</v>
      </c>
      <c r="N3">
        <v>6.8</v>
      </c>
      <c r="R3">
        <v>10</v>
      </c>
      <c r="S3">
        <v>43.7</v>
      </c>
      <c r="T3">
        <v>4.8</v>
      </c>
      <c r="U3">
        <v>1.1399999999999999</v>
      </c>
      <c r="V3">
        <v>0.03</v>
      </c>
      <c r="AA3" t="s">
        <v>32</v>
      </c>
      <c r="AB3">
        <v>2</v>
      </c>
    </row>
    <row r="4" spans="1:52" x14ac:dyDescent="0.3">
      <c r="A4">
        <v>1.8</v>
      </c>
      <c r="B4">
        <v>2017</v>
      </c>
      <c r="C4">
        <v>1</v>
      </c>
      <c r="D4">
        <v>24</v>
      </c>
      <c r="E4" t="s">
        <v>30</v>
      </c>
      <c r="F4">
        <v>18</v>
      </c>
      <c r="G4">
        <v>0.161</v>
      </c>
      <c r="H4">
        <v>9.2999999999999999E-2</v>
      </c>
      <c r="I4">
        <v>9.19</v>
      </c>
      <c r="J4">
        <v>3.16</v>
      </c>
      <c r="K4">
        <v>1.86</v>
      </c>
      <c r="L4">
        <v>0.41</v>
      </c>
      <c r="M4">
        <v>16.8</v>
      </c>
      <c r="N4">
        <v>6.1</v>
      </c>
      <c r="O4">
        <v>219</v>
      </c>
      <c r="P4">
        <v>285</v>
      </c>
      <c r="Q4">
        <v>308</v>
      </c>
      <c r="R4">
        <v>24</v>
      </c>
      <c r="S4">
        <v>42.4</v>
      </c>
      <c r="T4">
        <v>5.3</v>
      </c>
      <c r="U4">
        <v>0.52</v>
      </c>
      <c r="V4">
        <v>0.03</v>
      </c>
      <c r="W4">
        <v>7.6</v>
      </c>
      <c r="X4">
        <v>11.2</v>
      </c>
      <c r="Y4">
        <v>2.6</v>
      </c>
      <c r="AA4" t="s">
        <v>33</v>
      </c>
      <c r="AB4">
        <v>3</v>
      </c>
      <c r="AC4">
        <f t="shared" ref="AC3:AC13" si="4">AVERAGEIF($C:$C,$AB4,G:G)</f>
        <v>0.14031250000000001</v>
      </c>
      <c r="AD4" cm="1">
        <f t="array" ref="AD4">_xlfn.STDEV.P(IF($C:$C=$AB4,G:G))</f>
        <v>6.5651274502099344E-2</v>
      </c>
      <c r="AE4">
        <f t="shared" ref="AE3:AE13" si="5">AVERAGEIF($C:$C,$AB4,I:I)</f>
        <v>5.2050000000000001</v>
      </c>
      <c r="AF4" cm="1">
        <f t="array" ref="AF4">_xlfn.STDEV.P(IF($C:$C=$AB4,I:I))</f>
        <v>2.6849441334970083</v>
      </c>
      <c r="AG4">
        <f t="shared" ref="AG3:AG13" si="6">AVERAGEIF($C:$C,$AB4,K:K)</f>
        <v>1.0050000000000001</v>
      </c>
      <c r="AH4" cm="1">
        <f t="array" ref="AH4">_xlfn.STDEV.P(IF($C:$C=$AB4,K:K))</f>
        <v>0.34340209667385524</v>
      </c>
      <c r="AI4">
        <f t="shared" ref="AI3:AI13" si="7">AVERAGEIF($C:$C,$AB4,M:M)</f>
        <v>28.293749999999996</v>
      </c>
      <c r="AJ4" cm="1">
        <f t="array" ref="AJ4">_xlfn.STDEV.P(IF($C:$C=$AB4,M:M))</f>
        <v>9.662975004495264</v>
      </c>
      <c r="AK4">
        <f t="shared" ref="AK3:AK13" si="8">AVERAGEIF($C:$C,$AB4,O:O)</f>
        <v>248.66666666666666</v>
      </c>
      <c r="AL4" cm="1">
        <f t="array" ref="AL4">_xlfn.STDEV.P(IF($C:$C=$AB4,O:O))</f>
        <v>121.53934548120621</v>
      </c>
      <c r="AM4">
        <f t="shared" ref="AM3:AM13" si="9">AVERAGEIF($C:$C,$AB4,P:P)</f>
        <v>279.33333333333331</v>
      </c>
      <c r="AN4" cm="1">
        <f t="array" ref="AN4">_xlfn.STDEV.P(IF($C:$C=$AB4,P:P))</f>
        <v>136.25642186700779</v>
      </c>
      <c r="AO4">
        <f t="shared" ref="AO3:AO13" si="10">AVERAGEIF($C:$C,$AB4,Q:Q)</f>
        <v>296.5</v>
      </c>
      <c r="AP4" cm="1">
        <f t="array" ref="AP4">_xlfn.STDEV.P(IF($C:$C=$AB4,Q:Q))</f>
        <v>144.21867890030751</v>
      </c>
      <c r="AQ4">
        <f t="shared" ref="AQ3:AQ13" si="11">AVERAGEIF($C:$C,$AB4,R:R)</f>
        <v>15.9</v>
      </c>
      <c r="AR4" cm="1">
        <f t="array" ref="AR4">_xlfn.STDEV.P(IF($C:$C=$AB4,R:R))</f>
        <v>8.5547410101066177</v>
      </c>
      <c r="AS4">
        <f t="shared" ref="AS3:AS13" si="12">AVERAGEIF($C:$C,$AB4,S:S)</f>
        <v>47.018749999999997</v>
      </c>
      <c r="AT4" cm="1">
        <f t="array" ref="AT4">_xlfn.STDEV.P(IF($C:$C=$AB4,S:S))</f>
        <v>13.409568353884497</v>
      </c>
      <c r="AU4">
        <f t="shared" ref="AU3:AU13" si="13">AVERAGEIF($C:$C,$AB4,U:U)</f>
        <v>2.0756250000000001</v>
      </c>
      <c r="AV4" cm="1">
        <f t="array" ref="AV4">_xlfn.STDEV.P(IF($C:$C=$AB4,U:U))</f>
        <v>1.7728119216022324</v>
      </c>
      <c r="AW4">
        <f t="shared" ref="AW3:AW13" si="14">AVERAGEIF($C:$C,$AB4,W:W)</f>
        <v>5.3999999999999995</v>
      </c>
      <c r="AX4" cm="1">
        <f t="array" ref="AX4">_xlfn.STDEV.P(IF($C:$C=$AB4,W:W))</f>
        <v>2.8382432947159408</v>
      </c>
    </row>
    <row r="5" spans="1:52" x14ac:dyDescent="0.3">
      <c r="A5">
        <v>1.8333333329999999</v>
      </c>
      <c r="B5">
        <v>2017</v>
      </c>
      <c r="C5">
        <v>1</v>
      </c>
      <c r="D5">
        <v>25</v>
      </c>
      <c r="E5" t="s">
        <v>30</v>
      </c>
      <c r="F5">
        <v>10</v>
      </c>
      <c r="G5">
        <v>0.16</v>
      </c>
      <c r="H5">
        <v>4.9000000000000002E-2</v>
      </c>
      <c r="I5">
        <v>5.85</v>
      </c>
      <c r="J5">
        <v>0.31</v>
      </c>
      <c r="K5">
        <v>1.32</v>
      </c>
      <c r="L5">
        <v>0.16</v>
      </c>
      <c r="M5">
        <v>24.8</v>
      </c>
      <c r="N5">
        <v>5.8</v>
      </c>
      <c r="R5">
        <v>16</v>
      </c>
      <c r="S5">
        <v>37.6</v>
      </c>
      <c r="T5">
        <v>1.8</v>
      </c>
      <c r="U5">
        <v>2.78</v>
      </c>
      <c r="V5">
        <v>0.09</v>
      </c>
      <c r="AA5" t="s">
        <v>34</v>
      </c>
      <c r="AB5">
        <v>4</v>
      </c>
      <c r="AC5">
        <f t="shared" si="4"/>
        <v>0.10319999999999999</v>
      </c>
      <c r="AD5" cm="1">
        <f t="array" ref="AD5">_xlfn.STDEV.P(IF($C:$C=$AB5,G:G))</f>
        <v>5.9575114056760636E-2</v>
      </c>
      <c r="AE5">
        <f t="shared" si="5"/>
        <v>7.0047499999999969</v>
      </c>
      <c r="AF5" cm="1">
        <f t="array" ref="AF5">_xlfn.STDEV.P(IF($C:$C=$AB5,I:I))</f>
        <v>4.0707423823411473</v>
      </c>
      <c r="AG5">
        <f t="shared" si="6"/>
        <v>1.101</v>
      </c>
      <c r="AH5" cm="1">
        <f t="array" ref="AH5">_xlfn.STDEV.P(IF($C:$C=$AB5,K:K))</f>
        <v>0.55136532263850657</v>
      </c>
      <c r="AI5">
        <f t="shared" si="7"/>
        <v>19.622499999999999</v>
      </c>
      <c r="AJ5" cm="1">
        <f t="array" ref="AJ5">_xlfn.STDEV.P(IF($C:$C=$AB5,M:M))</f>
        <v>9.4114102872545757</v>
      </c>
      <c r="AK5">
        <f t="shared" si="8"/>
        <v>224.45454545454547</v>
      </c>
      <c r="AL5" cm="1">
        <f t="array" ref="AL5">_xlfn.STDEV.P(IF($C:$C=$AB5,O:O))</f>
        <v>113.35560772036332</v>
      </c>
      <c r="AM5">
        <f t="shared" si="9"/>
        <v>273.90909090909093</v>
      </c>
      <c r="AN5" cm="1">
        <f t="array" ref="AN5">_xlfn.STDEV.P(IF($C:$C=$AB5,P:P))</f>
        <v>137.39838469102349</v>
      </c>
      <c r="AO5">
        <f t="shared" si="10"/>
        <v>295.95454545454544</v>
      </c>
      <c r="AP5" cm="1">
        <f t="array" ref="AP5">_xlfn.STDEV.P(IF($C:$C=$AB5,Q:Q))</f>
        <v>148.15908045015232</v>
      </c>
      <c r="AQ5">
        <f t="shared" si="11"/>
        <v>12.954545454545455</v>
      </c>
      <c r="AR5" cm="1">
        <f t="array" ref="AR5">_xlfn.STDEV.P(IF($C:$C=$AB5,R:R))</f>
        <v>7.6648211636720118</v>
      </c>
      <c r="AS5">
        <f t="shared" si="12"/>
        <v>47.341860465116277</v>
      </c>
      <c r="AT5" cm="1">
        <f t="array" ref="AT5">_xlfn.STDEV.P(IF($C:$C=$AB5,S:S))</f>
        <v>15.095603561992039</v>
      </c>
      <c r="AU5">
        <f t="shared" si="13"/>
        <v>0.87046511627906997</v>
      </c>
      <c r="AV5" cm="1">
        <f t="array" ref="AV5">_xlfn.STDEV.P(IF($C:$C=$AB5,U:U))</f>
        <v>0.6904162042738905</v>
      </c>
      <c r="AW5">
        <f t="shared" si="14"/>
        <v>7.995454545454546</v>
      </c>
      <c r="AX5" cm="1">
        <f t="array" ref="AX5">_xlfn.STDEV.P(IF($C:$C=$AB5,W:W))</f>
        <v>4.8237805164698759</v>
      </c>
      <c r="AY5">
        <f t="shared" ref="AY3:AY13" si="15">AVERAGEIF($C:$C,$AB5,X:X)</f>
        <v>27.25</v>
      </c>
      <c r="AZ5" cm="1">
        <f t="array" ref="AZ5">_xlfn.STDEV.P(IF($C:$C=$AB5,X:X))</f>
        <v>11.40777133803209</v>
      </c>
    </row>
    <row r="6" spans="1:52" x14ac:dyDescent="0.3">
      <c r="A6">
        <v>1.8</v>
      </c>
      <c r="B6">
        <v>2017</v>
      </c>
      <c r="C6">
        <v>1</v>
      </c>
      <c r="D6">
        <v>24</v>
      </c>
      <c r="E6" t="s">
        <v>30</v>
      </c>
      <c r="F6">
        <v>11</v>
      </c>
      <c r="G6">
        <v>0.13500000000000001</v>
      </c>
      <c r="H6">
        <v>7.9000000000000001E-2</v>
      </c>
      <c r="I6">
        <v>9.3800000000000008</v>
      </c>
      <c r="J6">
        <v>4.24</v>
      </c>
      <c r="K6">
        <v>1.17</v>
      </c>
      <c r="L6">
        <v>0.35</v>
      </c>
      <c r="M6">
        <v>19.7</v>
      </c>
      <c r="N6">
        <v>6.6</v>
      </c>
      <c r="O6">
        <v>222</v>
      </c>
      <c r="P6">
        <v>280</v>
      </c>
      <c r="Q6">
        <v>301</v>
      </c>
      <c r="R6">
        <v>20</v>
      </c>
      <c r="S6">
        <v>55.7</v>
      </c>
      <c r="T6">
        <v>17.600000000000001</v>
      </c>
      <c r="U6">
        <v>0.98</v>
      </c>
      <c r="V6">
        <v>0.2</v>
      </c>
      <c r="W6">
        <v>8.4</v>
      </c>
      <c r="AA6" t="s">
        <v>35</v>
      </c>
      <c r="AB6">
        <v>5</v>
      </c>
      <c r="AC6">
        <f t="shared" si="4"/>
        <v>0.13894594594594595</v>
      </c>
      <c r="AD6" cm="1">
        <f t="array" ref="AD6">_xlfn.STDEV.P(IF($C:$C=$AB6,G:G))</f>
        <v>7.8330618107291528E-2</v>
      </c>
      <c r="AE6">
        <f t="shared" si="5"/>
        <v>10.857567567567568</v>
      </c>
      <c r="AF6" cm="1">
        <f t="array" ref="AF6">_xlfn.STDEV.P(IF($C:$C=$AB6,I:I))</f>
        <v>7.1621492206994741</v>
      </c>
      <c r="AG6">
        <f t="shared" si="6"/>
        <v>1.2324324324324327</v>
      </c>
      <c r="AH6" cm="1">
        <f t="array" ref="AH6">_xlfn.STDEV.P(IF($C:$C=$AB6,K:K))</f>
        <v>0.6675419303660588</v>
      </c>
      <c r="AI6">
        <f t="shared" si="7"/>
        <v>20.478378378378377</v>
      </c>
      <c r="AJ6" cm="1">
        <f t="array" ref="AJ6">_xlfn.STDEV.P(IF($C:$C=$AB6,M:M))</f>
        <v>7.587403485398025</v>
      </c>
      <c r="AK6">
        <f t="shared" si="8"/>
        <v>229.61538461538461</v>
      </c>
      <c r="AL6" cm="1">
        <f t="array" ref="AL6">_xlfn.STDEV.P(IF($C:$C=$AB6,O:O))</f>
        <v>109.20759956505472</v>
      </c>
      <c r="AM6">
        <f t="shared" si="9"/>
        <v>276.38461538461536</v>
      </c>
      <c r="AN6" cm="1">
        <f t="array" ref="AN6">_xlfn.STDEV.P(IF($C:$C=$AB6,P:P))</f>
        <v>130.63438497502898</v>
      </c>
      <c r="AO6">
        <f t="shared" si="10"/>
        <v>299.69230769230768</v>
      </c>
      <c r="AP6" cm="1">
        <f t="array" ref="AP6">_xlfn.STDEV.P(IF($C:$C=$AB6,Q:Q))</f>
        <v>141.36492055193943</v>
      </c>
      <c r="AQ6">
        <f t="shared" si="11"/>
        <v>14.8</v>
      </c>
      <c r="AR6" cm="1">
        <f t="array" ref="AR6">_xlfn.STDEV.P(IF($C:$C=$AB6,R:R))</f>
        <v>9.2511171740381908</v>
      </c>
      <c r="AS6">
        <f t="shared" si="12"/>
        <v>46.261538461538464</v>
      </c>
      <c r="AT6" cm="1">
        <f t="array" ref="AT6">_xlfn.STDEV.P(IF($C:$C=$AB6,S:S))</f>
        <v>14.464130973294708</v>
      </c>
      <c r="AU6">
        <f t="shared" si="13"/>
        <v>1.5074358974358972</v>
      </c>
      <c r="AV6" cm="1">
        <f t="array" ref="AV6">_xlfn.STDEV.P(IF($C:$C=$AB6,U:U))</f>
        <v>1.4460569161914825</v>
      </c>
      <c r="AW6">
        <f t="shared" si="14"/>
        <v>8.8769230769230774</v>
      </c>
      <c r="AX6" cm="1">
        <f t="array" ref="AX6">_xlfn.STDEV.P(IF($C:$C=$AB6,W:W))</f>
        <v>4.6741360341788516</v>
      </c>
      <c r="AY6">
        <f t="shared" si="15"/>
        <v>26.5</v>
      </c>
      <c r="AZ6" cm="1">
        <f t="array" ref="AZ6">_xlfn.STDEV.P(IF($C:$C=$AB6,X:X))</f>
        <v>10.165993769563993</v>
      </c>
    </row>
    <row r="7" spans="1:52" x14ac:dyDescent="0.3">
      <c r="A7">
        <v>1.8333333329999999</v>
      </c>
      <c r="B7">
        <v>2017</v>
      </c>
      <c r="C7">
        <v>1</v>
      </c>
      <c r="D7">
        <v>25</v>
      </c>
      <c r="E7" t="s">
        <v>30</v>
      </c>
      <c r="G7">
        <v>0.126</v>
      </c>
      <c r="H7">
        <v>3.5000000000000003E-2</v>
      </c>
      <c r="I7">
        <v>9.24</v>
      </c>
      <c r="J7">
        <v>2.54</v>
      </c>
      <c r="K7">
        <v>1.36</v>
      </c>
      <c r="L7">
        <v>0.35</v>
      </c>
      <c r="M7">
        <v>20.399999999999999</v>
      </c>
      <c r="N7">
        <v>3.8</v>
      </c>
      <c r="R7">
        <v>14</v>
      </c>
      <c r="S7">
        <v>46.2</v>
      </c>
      <c r="T7">
        <v>46.7</v>
      </c>
      <c r="U7">
        <v>1.08</v>
      </c>
      <c r="V7">
        <v>0.49</v>
      </c>
      <c r="AA7" t="s">
        <v>36</v>
      </c>
      <c r="AB7">
        <v>6</v>
      </c>
      <c r="AC7">
        <f t="shared" si="4"/>
        <v>0.13182142857142856</v>
      </c>
      <c r="AD7" cm="1">
        <f t="array" ref="AD7">_xlfn.STDEV.P(IF($C:$C=$AB7,G:G))</f>
        <v>7.630961360137839E-2</v>
      </c>
      <c r="AE7">
        <f t="shared" si="5"/>
        <v>8.2992857142857144</v>
      </c>
      <c r="AF7" cm="1">
        <f t="array" ref="AF7">_xlfn.STDEV.P(IF($C:$C=$AB7,I:I))</f>
        <v>4.305978347801779</v>
      </c>
      <c r="AG7">
        <f t="shared" si="6"/>
        <v>1.1914285714285717</v>
      </c>
      <c r="AH7" cm="1">
        <f t="array" ref="AH7">_xlfn.STDEV.P(IF($C:$C=$AB7,K:K))</f>
        <v>0.58090406414292961</v>
      </c>
      <c r="AI7">
        <f t="shared" si="7"/>
        <v>20.949999999999996</v>
      </c>
      <c r="AJ7" cm="1">
        <f t="array" ref="AJ7">_xlfn.STDEV.P(IF($C:$C=$AB7,M:M))</f>
        <v>7.8823080653476731</v>
      </c>
      <c r="AK7">
        <f t="shared" si="8"/>
        <v>232</v>
      </c>
      <c r="AL7" cm="1">
        <f t="array" ref="AL7">_xlfn.STDEV.P(IF($C:$C=$AB7,O:O))</f>
        <v>105.73934732804568</v>
      </c>
      <c r="AM7">
        <f t="shared" si="9"/>
        <v>281.55555555555554</v>
      </c>
      <c r="AN7" cm="1">
        <f t="array" ref="AN7">_xlfn.STDEV.P(IF($C:$C=$AB7,P:P))</f>
        <v>127.92461685013522</v>
      </c>
      <c r="AO7">
        <f t="shared" si="10"/>
        <v>300.33333333333331</v>
      </c>
      <c r="AP7" cm="1">
        <f t="array" ref="AP7">_xlfn.STDEV.P(IF($C:$C=$AB7,Q:Q))</f>
        <v>136.38333531603146</v>
      </c>
      <c r="AQ7">
        <f t="shared" si="11"/>
        <v>15.590909090909092</v>
      </c>
      <c r="AR7" cm="1">
        <f t="array" ref="AR7">_xlfn.STDEV.P(IF($C:$C=$AB7,R:R))</f>
        <v>9.8437321923925936</v>
      </c>
      <c r="AS7">
        <f t="shared" si="12"/>
        <v>43.63548387096774</v>
      </c>
      <c r="AT7" cm="1">
        <f t="array" ref="AT7">_xlfn.STDEV.P(IF($C:$C=$AB7,S:S))</f>
        <v>10.696684695528189</v>
      </c>
      <c r="AU7">
        <f t="shared" si="13"/>
        <v>1.1770967741935487</v>
      </c>
      <c r="AV7" cm="1">
        <f t="array" ref="AV7">_xlfn.STDEV.P(IF($C:$C=$AB7,U:U))</f>
        <v>0.86314576030817669</v>
      </c>
      <c r="AW7">
        <f t="shared" si="14"/>
        <v>4.0666666666666664</v>
      </c>
      <c r="AX7" cm="1">
        <f t="array" ref="AX7">_xlfn.STDEV.P(IF($C:$C=$AB7,W:W))</f>
        <v>2.1644368044692608</v>
      </c>
      <c r="AY7">
        <f t="shared" si="15"/>
        <v>36.925000000000004</v>
      </c>
      <c r="AZ7" cm="1">
        <f t="array" ref="AZ7">_xlfn.STDEV.P(IF($C:$C=$AB7,X:X))</f>
        <v>12.481200014346655</v>
      </c>
    </row>
    <row r="8" spans="1:52" x14ac:dyDescent="0.3">
      <c r="A8">
        <v>1.8</v>
      </c>
      <c r="B8">
        <v>2017</v>
      </c>
      <c r="C8">
        <v>1</v>
      </c>
      <c r="D8">
        <v>24</v>
      </c>
      <c r="E8" t="s">
        <v>30</v>
      </c>
      <c r="F8">
        <v>8</v>
      </c>
      <c r="G8">
        <v>0.126</v>
      </c>
      <c r="H8">
        <v>0.01</v>
      </c>
      <c r="I8">
        <v>7.13</v>
      </c>
      <c r="J8">
        <v>1.53</v>
      </c>
      <c r="K8">
        <v>1</v>
      </c>
      <c r="L8">
        <v>0.11</v>
      </c>
      <c r="M8">
        <v>23.2</v>
      </c>
      <c r="N8">
        <v>2.6</v>
      </c>
      <c r="S8">
        <v>46.1</v>
      </c>
      <c r="T8">
        <v>3.7</v>
      </c>
      <c r="U8">
        <v>2.08</v>
      </c>
      <c r="V8">
        <v>0.11</v>
      </c>
      <c r="AA8" t="s">
        <v>37</v>
      </c>
      <c r="AB8">
        <v>7</v>
      </c>
      <c r="AC8">
        <f t="shared" si="4"/>
        <v>0.109859649122807</v>
      </c>
      <c r="AD8" cm="1">
        <f t="array" ref="AD8">_xlfn.STDEV.P(IF($C:$C=$AB8,G:G))</f>
        <v>5.7642816863313504E-2</v>
      </c>
      <c r="AE8">
        <f t="shared" si="5"/>
        <v>9.1401754385964917</v>
      </c>
      <c r="AF8" cm="1">
        <f t="array" ref="AF8">_xlfn.STDEV.P(IF($C:$C=$AB8,I:I))</f>
        <v>5.417992429652652</v>
      </c>
      <c r="AG8">
        <f t="shared" si="6"/>
        <v>1.2287719298245621</v>
      </c>
      <c r="AH8" cm="1">
        <f t="array" ref="AH8">_xlfn.STDEV.P(IF($C:$C=$AB8,K:K))</f>
        <v>0.61687436676765783</v>
      </c>
      <c r="AI8">
        <f t="shared" si="7"/>
        <v>17.631578947368418</v>
      </c>
      <c r="AJ8" cm="1">
        <f t="array" ref="AJ8">_xlfn.STDEV.P(IF($C:$C=$AB8,M:M))</f>
        <v>7.9573662561412295</v>
      </c>
      <c r="AK8">
        <f t="shared" si="8"/>
        <v>225.18181818181819</v>
      </c>
      <c r="AL8" cm="1">
        <f t="array" ref="AL8">_xlfn.STDEV.P(IF($C:$C=$AB8,O:O))</f>
        <v>113.5887754670741</v>
      </c>
      <c r="AM8">
        <f t="shared" si="9"/>
        <v>277.30303030303031</v>
      </c>
      <c r="AN8" cm="1">
        <f t="array" ref="AN8">_xlfn.STDEV.P(IF($C:$C=$AB8,P:P))</f>
        <v>138.95553382596671</v>
      </c>
      <c r="AO8">
        <f t="shared" si="10"/>
        <v>298.24242424242425</v>
      </c>
      <c r="AP8" cm="1">
        <f t="array" ref="AP8">_xlfn.STDEV.P(IF($C:$C=$AB8,Q:Q))</f>
        <v>149.26742661557981</v>
      </c>
      <c r="AQ8">
        <f t="shared" si="11"/>
        <v>17.631578947368421</v>
      </c>
      <c r="AR8" cm="1">
        <f t="array" ref="AR8">_xlfn.STDEV.P(IF($C:$C=$AB8,R:R))</f>
        <v>10.034267458937897</v>
      </c>
      <c r="AS8">
        <f t="shared" si="12"/>
        <v>44.059016393442619</v>
      </c>
      <c r="AT8" cm="1">
        <f t="array" ref="AT8">_xlfn.STDEV.P(IF($C:$C=$AB8,S:S))</f>
        <v>14.142830283839924</v>
      </c>
      <c r="AU8">
        <f t="shared" si="13"/>
        <v>1.2886885245901634</v>
      </c>
      <c r="AV8" cm="1">
        <f t="array" ref="AV8">_xlfn.STDEV.P(IF($C:$C=$AB8,U:U))</f>
        <v>1.0171414520107014</v>
      </c>
      <c r="AW8">
        <f t="shared" si="14"/>
        <v>8.4818181818181806</v>
      </c>
      <c r="AX8" cm="1">
        <f t="array" ref="AX8">_xlfn.STDEV.P(IF($C:$C=$AB8,W:W))</f>
        <v>5.3377559127028054</v>
      </c>
      <c r="AY8">
        <f t="shared" si="15"/>
        <v>38.800000000000004</v>
      </c>
      <c r="AZ8" cm="1">
        <f t="array" ref="AZ8">_xlfn.STDEV.P(IF($C:$C=$AB8,X:X))</f>
        <v>12.989417267048587</v>
      </c>
    </row>
    <row r="9" spans="1:52" x14ac:dyDescent="0.3">
      <c r="A9">
        <v>1.8333333329999999</v>
      </c>
      <c r="B9">
        <v>2017</v>
      </c>
      <c r="C9">
        <v>1</v>
      </c>
      <c r="D9">
        <v>25</v>
      </c>
      <c r="E9" t="s">
        <v>30</v>
      </c>
      <c r="G9">
        <v>0.109</v>
      </c>
      <c r="H9">
        <v>2.5999999999999999E-2</v>
      </c>
      <c r="I9">
        <v>5.85</v>
      </c>
      <c r="J9">
        <v>2.79</v>
      </c>
      <c r="K9">
        <v>0.89</v>
      </c>
      <c r="L9">
        <v>0.2</v>
      </c>
      <c r="M9">
        <v>26.5</v>
      </c>
      <c r="N9">
        <v>4</v>
      </c>
      <c r="O9">
        <v>225</v>
      </c>
      <c r="P9">
        <v>276</v>
      </c>
      <c r="Q9">
        <v>296</v>
      </c>
      <c r="R9">
        <v>18</v>
      </c>
      <c r="S9">
        <v>34.6</v>
      </c>
      <c r="T9">
        <v>2.8</v>
      </c>
      <c r="U9">
        <v>2.42</v>
      </c>
      <c r="V9">
        <v>0.08</v>
      </c>
      <c r="W9">
        <v>0.2</v>
      </c>
      <c r="X9">
        <v>5.4</v>
      </c>
      <c r="Y9">
        <v>3.2</v>
      </c>
      <c r="AA9" t="s">
        <v>38</v>
      </c>
      <c r="AB9">
        <v>8</v>
      </c>
      <c r="AC9">
        <f t="shared" si="4"/>
        <v>9.5157894736842108E-2</v>
      </c>
      <c r="AD9" cm="1">
        <f t="array" ref="AD9">_xlfn.STDEV.P(IF($C:$C=$AB9,G:G))</f>
        <v>6.2041878654617869E-2</v>
      </c>
      <c r="AE9">
        <f t="shared" si="5"/>
        <v>10.42578947368421</v>
      </c>
      <c r="AF9" cm="1">
        <f t="array" ref="AF9">_xlfn.STDEV.P(IF($C:$C=$AB9,I:I))</f>
        <v>6.5685086768752345</v>
      </c>
      <c r="AG9">
        <f t="shared" si="6"/>
        <v>1.1536842105263156</v>
      </c>
      <c r="AH9" cm="1">
        <f t="array" ref="AH9">_xlfn.STDEV.P(IF($C:$C=$AB9,K:K))</f>
        <v>0.70330545520920862</v>
      </c>
      <c r="AI9">
        <f t="shared" si="7"/>
        <v>17.373684210526321</v>
      </c>
      <c r="AJ9" cm="1">
        <f t="array" ref="AJ9">_xlfn.STDEV.P(IF($C:$C=$AB9,M:M))</f>
        <v>9.9351317605852039</v>
      </c>
      <c r="AK9">
        <f t="shared" si="8"/>
        <v>226.44444444444446</v>
      </c>
      <c r="AL9" cm="1">
        <f t="array" ref="AL9">_xlfn.STDEV.P(IF($C:$C=$AB9,O:O))</f>
        <v>111.0936694985205</v>
      </c>
      <c r="AM9">
        <f t="shared" si="9"/>
        <v>279.44444444444446</v>
      </c>
      <c r="AN9" cm="1">
        <f t="array" ref="AN9">_xlfn.STDEV.P(IF($C:$C=$AB9,P:P))</f>
        <v>136.75227005369717</v>
      </c>
      <c r="AO9">
        <f t="shared" si="10"/>
        <v>299.55555555555554</v>
      </c>
      <c r="AP9" cm="1">
        <f t="array" ref="AP9">_xlfn.STDEV.P(IF($C:$C=$AB9,Q:Q))</f>
        <v>146.3465085579692</v>
      </c>
      <c r="AQ9">
        <f t="shared" si="11"/>
        <v>18.833333333333332</v>
      </c>
      <c r="AR9" cm="1">
        <f t="array" ref="AR9">_xlfn.STDEV.P(IF($C:$C=$AB9,R:R))</f>
        <v>9.9941381685250388</v>
      </c>
      <c r="AS9">
        <f t="shared" si="12"/>
        <v>47.195454545454531</v>
      </c>
      <c r="AT9" cm="1">
        <f t="array" ref="AT9">_xlfn.STDEV.P(IF($C:$C=$AB9,S:S))</f>
        <v>17.732819636186683</v>
      </c>
      <c r="AU9">
        <f t="shared" si="13"/>
        <v>1.5027272727272729</v>
      </c>
      <c r="AV9" cm="1">
        <f t="array" ref="AV9">_xlfn.STDEV.P(IF($C:$C=$AB9,U:U))</f>
        <v>1.6304553042186773</v>
      </c>
      <c r="AW9">
        <f t="shared" si="14"/>
        <v>7.9666666666666668</v>
      </c>
      <c r="AX9" cm="1">
        <f t="array" ref="AX9">_xlfn.STDEV.P(IF($C:$C=$AB9,W:W))</f>
        <v>4.1589768990559337</v>
      </c>
      <c r="AY9">
        <f t="shared" si="15"/>
        <v>44.675000000000004</v>
      </c>
      <c r="AZ9" cm="1">
        <f t="array" ref="AZ9">_xlfn.STDEV.P(IF($C:$C=$AB9,X:X))</f>
        <v>17.19573847062389</v>
      </c>
    </row>
    <row r="10" spans="1:52" x14ac:dyDescent="0.3">
      <c r="A10">
        <v>1.8</v>
      </c>
      <c r="B10">
        <v>2017</v>
      </c>
      <c r="C10">
        <v>1</v>
      </c>
      <c r="D10">
        <v>24</v>
      </c>
      <c r="E10" t="s">
        <v>30</v>
      </c>
      <c r="F10">
        <v>7</v>
      </c>
      <c r="G10">
        <v>9.9000000000000005E-2</v>
      </c>
      <c r="H10">
        <v>3.2000000000000001E-2</v>
      </c>
      <c r="I10">
        <v>2.4900000000000002</v>
      </c>
      <c r="J10">
        <v>1.28</v>
      </c>
      <c r="K10">
        <v>1.06</v>
      </c>
      <c r="L10">
        <v>0.44</v>
      </c>
      <c r="M10">
        <v>25.8</v>
      </c>
      <c r="N10">
        <v>3.1</v>
      </c>
      <c r="S10">
        <v>60.3</v>
      </c>
      <c r="T10">
        <v>12.9</v>
      </c>
      <c r="U10">
        <v>0.75</v>
      </c>
      <c r="V10">
        <v>0.06</v>
      </c>
      <c r="AA10" t="s">
        <v>39</v>
      </c>
      <c r="AB10">
        <v>9</v>
      </c>
      <c r="AC10">
        <f t="shared" si="4"/>
        <v>0.1123255813953488</v>
      </c>
      <c r="AD10" cm="1">
        <f t="array" ref="AD10">_xlfn.STDEV.P(IF($C:$C=$AB10,G:G))</f>
        <v>5.9673779836708921E-2</v>
      </c>
      <c r="AE10">
        <f t="shared" si="5"/>
        <v>8.7306976744186056</v>
      </c>
      <c r="AF10" cm="1">
        <f t="array" ref="AF10">_xlfn.STDEV.P(IF($C:$C=$AB10,I:I))</f>
        <v>4.301859765264318</v>
      </c>
      <c r="AG10">
        <f t="shared" si="6"/>
        <v>1.0527906976744186</v>
      </c>
      <c r="AH10" cm="1">
        <f t="array" ref="AH10">_xlfn.STDEV.P(IF($C:$C=$AB10,K:K))</f>
        <v>0.50292826526255185</v>
      </c>
      <c r="AI10">
        <f t="shared" si="7"/>
        <v>20.211627906976741</v>
      </c>
      <c r="AJ10" cm="1">
        <f t="array" ref="AJ10">_xlfn.STDEV.P(IF($C:$C=$AB10,M:M))</f>
        <v>8.52219901199215</v>
      </c>
      <c r="AK10">
        <f t="shared" si="8"/>
        <v>221</v>
      </c>
      <c r="AL10" cm="1">
        <f t="array" ref="AL10">_xlfn.STDEV.P(IF($C:$C=$AB10,O:O))</f>
        <v>110.95072960553256</v>
      </c>
      <c r="AM10">
        <f t="shared" si="9"/>
        <v>273.59259259259261</v>
      </c>
      <c r="AN10" cm="1">
        <f t="array" ref="AN10">_xlfn.STDEV.P(IF($C:$C=$AB10,P:P))</f>
        <v>136.84294793667667</v>
      </c>
      <c r="AO10">
        <f t="shared" si="10"/>
        <v>296.7037037037037</v>
      </c>
      <c r="AP10" cm="1">
        <f t="array" ref="AP10">_xlfn.STDEV.P(IF($C:$C=$AB10,Q:Q))</f>
        <v>148.14469818390398</v>
      </c>
      <c r="AQ10">
        <f t="shared" si="11"/>
        <v>21.942857142857143</v>
      </c>
      <c r="AR10" cm="1">
        <f t="array" ref="AR10">_xlfn.STDEV.P(IF($C:$C=$AB10,R:R))</f>
        <v>10.877058425879673</v>
      </c>
      <c r="AS10">
        <f t="shared" si="12"/>
        <v>44.867441860465114</v>
      </c>
      <c r="AT10" cm="1">
        <f t="array" ref="AT10">_xlfn.STDEV.P(IF($C:$C=$AB10,S:S))</f>
        <v>18.119039820034626</v>
      </c>
      <c r="AU10">
        <f t="shared" si="13"/>
        <v>1.6172093023255811</v>
      </c>
      <c r="AV10" cm="1">
        <f t="array" ref="AV10">_xlfn.STDEV.P(IF($C:$C=$AB10,U:U))</f>
        <v>1.1810043861053183</v>
      </c>
      <c r="AW10">
        <f t="shared" si="14"/>
        <v>6.4444444444444446</v>
      </c>
      <c r="AX10" cm="1">
        <f t="array" ref="AX10">_xlfn.STDEV.P(IF($C:$C=$AB10,W:W))</f>
        <v>3.7668023574379377</v>
      </c>
      <c r="AY10">
        <f t="shared" si="15"/>
        <v>25.939130434782605</v>
      </c>
      <c r="AZ10" cm="1">
        <f t="array" ref="AZ10">_xlfn.STDEV.P(IF($C:$C=$AB10,X:X))</f>
        <v>16.984138953741521</v>
      </c>
    </row>
    <row r="11" spans="1:52" x14ac:dyDescent="0.3">
      <c r="A11">
        <v>1.8</v>
      </c>
      <c r="B11">
        <v>2017</v>
      </c>
      <c r="C11">
        <v>1</v>
      </c>
      <c r="D11">
        <v>24</v>
      </c>
      <c r="E11" t="s">
        <v>30</v>
      </c>
      <c r="F11">
        <v>10</v>
      </c>
      <c r="G11">
        <v>9.0999999999999998E-2</v>
      </c>
      <c r="H11">
        <v>0.03</v>
      </c>
      <c r="I11">
        <v>4.16</v>
      </c>
      <c r="J11">
        <v>0.43</v>
      </c>
      <c r="K11">
        <v>1.03</v>
      </c>
      <c r="L11">
        <v>0.17</v>
      </c>
      <c r="M11">
        <v>18.600000000000001</v>
      </c>
      <c r="N11">
        <v>4</v>
      </c>
      <c r="R11">
        <v>15</v>
      </c>
      <c r="S11">
        <v>19.5</v>
      </c>
      <c r="T11">
        <v>4.3</v>
      </c>
      <c r="U11">
        <v>0.66</v>
      </c>
      <c r="V11">
        <v>0.05</v>
      </c>
      <c r="AA11" t="s">
        <v>40</v>
      </c>
      <c r="AB11">
        <v>10</v>
      </c>
      <c r="AC11">
        <f t="shared" si="4"/>
        <v>0.13213999999999998</v>
      </c>
      <c r="AD11" cm="1">
        <f t="array" ref="AD11">_xlfn.STDEV.P(IF($C:$C=$AB11,G:G))</f>
        <v>8.2752694018665918E-2</v>
      </c>
      <c r="AE11">
        <f t="shared" si="5"/>
        <v>9.8202000000000016</v>
      </c>
      <c r="AF11" cm="1">
        <f t="array" ref="AF11">_xlfn.STDEV.P(IF($C:$C=$AB11,I:I))</f>
        <v>6.3208551943352633</v>
      </c>
      <c r="AG11">
        <f t="shared" si="6"/>
        <v>1.1140000000000001</v>
      </c>
      <c r="AH11" cm="1">
        <f t="array" ref="AH11">_xlfn.STDEV.P(IF($C:$C=$AB11,K:K))</f>
        <v>0.64526975849212831</v>
      </c>
      <c r="AI11">
        <f>AVERAGEIF($C:$C,$AB11,M:M)</f>
        <v>22.394000000000002</v>
      </c>
      <c r="AJ11" cm="1">
        <f t="array" ref="AJ11">_xlfn.STDEV.P(IF($C:$C=$AB11,M:M))</f>
        <v>12.702321899269167</v>
      </c>
      <c r="AK11">
        <f t="shared" si="8"/>
        <v>221.43478260869566</v>
      </c>
      <c r="AL11" cm="1">
        <f t="array" ref="AL11">_xlfn.STDEV.P(IF($C:$C=$AB11,O:O))</f>
        <v>104.79455216405721</v>
      </c>
      <c r="AM11">
        <f t="shared" si="9"/>
        <v>274.39130434782606</v>
      </c>
      <c r="AN11" cm="1">
        <f t="array" ref="AN11">_xlfn.STDEV.P(IF($C:$C=$AB11,P:P))</f>
        <v>129.34700125899278</v>
      </c>
      <c r="AO11">
        <f t="shared" si="10"/>
        <v>299.82608695652175</v>
      </c>
      <c r="AP11" cm="1">
        <f t="array" ref="AP11">_xlfn.STDEV.P(IF($C:$C=$AB11,Q:Q))</f>
        <v>141.15510646672564</v>
      </c>
      <c r="AQ11">
        <f t="shared" si="11"/>
        <v>21.318181818181817</v>
      </c>
      <c r="AR11" cm="1">
        <f t="array" ref="AR11">_xlfn.STDEV.P(IF($C:$C=$AB11,R:R))</f>
        <v>11.089699210142202</v>
      </c>
      <c r="AS11">
        <f t="shared" si="12"/>
        <v>46.781034482758606</v>
      </c>
      <c r="AT11" cm="1">
        <f t="array" ref="AT11">_xlfn.STDEV.P(IF($C:$C=$AB11,S:S))</f>
        <v>21.267985953790113</v>
      </c>
      <c r="AU11">
        <f t="shared" si="13"/>
        <v>1.2003448275862068</v>
      </c>
      <c r="AV11" cm="1">
        <f t="array" ref="AV11">_xlfn.STDEV.P(IF($C:$C=$AB11,U:U))</f>
        <v>0.77216150367335867</v>
      </c>
      <c r="AW11">
        <f t="shared" si="14"/>
        <v>5.6956521739130439</v>
      </c>
      <c r="AX11" cm="1">
        <f t="array" ref="AX11">_xlfn.STDEV.P(IF($C:$C=$AB11,W:W))</f>
        <v>3.0755321424403408</v>
      </c>
      <c r="AY11">
        <f t="shared" si="15"/>
        <v>28.406250000000004</v>
      </c>
      <c r="AZ11" cm="1">
        <f t="array" ref="AZ11">_xlfn.STDEV.P(IF($C:$C=$AB11,X:X))</f>
        <v>14.099273754635846</v>
      </c>
    </row>
    <row r="12" spans="1:52" x14ac:dyDescent="0.3">
      <c r="A12">
        <v>1.8</v>
      </c>
      <c r="B12">
        <v>2017</v>
      </c>
      <c r="C12">
        <v>1</v>
      </c>
      <c r="D12">
        <v>24</v>
      </c>
      <c r="E12" t="s">
        <v>30</v>
      </c>
      <c r="F12">
        <v>24</v>
      </c>
      <c r="G12">
        <v>8.8999999999999996E-2</v>
      </c>
      <c r="H12">
        <v>2.5999999999999999E-2</v>
      </c>
      <c r="I12">
        <v>5.59</v>
      </c>
      <c r="J12">
        <v>1.75</v>
      </c>
      <c r="K12">
        <v>0.98</v>
      </c>
      <c r="L12">
        <v>0.18</v>
      </c>
      <c r="M12">
        <v>19.5</v>
      </c>
      <c r="N12">
        <v>2.9</v>
      </c>
      <c r="O12">
        <v>217</v>
      </c>
      <c r="P12">
        <v>276</v>
      </c>
      <c r="Q12">
        <v>299</v>
      </c>
      <c r="R12">
        <v>19</v>
      </c>
      <c r="S12">
        <v>34.700000000000003</v>
      </c>
      <c r="T12">
        <v>1.4</v>
      </c>
      <c r="U12">
        <v>1.95</v>
      </c>
      <c r="V12">
        <v>0.05</v>
      </c>
      <c r="W12">
        <v>7.3</v>
      </c>
      <c r="X12">
        <v>35.6</v>
      </c>
      <c r="Y12">
        <v>9.9</v>
      </c>
      <c r="AA12" t="s">
        <v>41</v>
      </c>
      <c r="AB12">
        <v>11</v>
      </c>
      <c r="AC12">
        <f t="shared" si="4"/>
        <v>9.6549999999999997E-2</v>
      </c>
      <c r="AD12" cm="1">
        <f t="array" ref="AD12">_xlfn.STDEV.P(IF($C:$C=$AB12,G:G))</f>
        <v>6.5795002849760545E-2</v>
      </c>
      <c r="AE12">
        <f t="shared" si="5"/>
        <v>7.5170000000000003</v>
      </c>
      <c r="AF12" cm="1">
        <f t="array" ref="AF12">_xlfn.STDEV.P(IF($C:$C=$AB12,I:I))</f>
        <v>4.9925759924111306</v>
      </c>
      <c r="AG12">
        <f t="shared" si="6"/>
        <v>1.0004999999999999</v>
      </c>
      <c r="AH12" cm="1">
        <f t="array" ref="AH12">_xlfn.STDEV.P(IF($C:$C=$AB12,K:K))</f>
        <v>0.5773766881334923</v>
      </c>
      <c r="AI12">
        <f t="shared" si="7"/>
        <v>18.170000000000002</v>
      </c>
      <c r="AJ12" cm="1">
        <f t="array" ref="AJ12">_xlfn.STDEV.P(IF($C:$C=$AB12,M:M))</f>
        <v>8.9374663076287995</v>
      </c>
      <c r="AK12">
        <f t="shared" si="8"/>
        <v>214.5</v>
      </c>
      <c r="AL12" cm="1">
        <f t="array" ref="AL12">_xlfn.STDEV.P(IF($C:$C=$AB12,O:O))</f>
        <v>106.17419648860074</v>
      </c>
      <c r="AM12">
        <f t="shared" si="9"/>
        <v>262.7</v>
      </c>
      <c r="AN12" cm="1">
        <f t="array" ref="AN12">_xlfn.STDEV.P(IF($C:$C=$AB12,P:P))</f>
        <v>130.05196499861123</v>
      </c>
      <c r="AO12">
        <f t="shared" si="10"/>
        <v>290.10000000000002</v>
      </c>
      <c r="AP12" cm="1">
        <f t="array" ref="AP12">_xlfn.STDEV.P(IF($C:$C=$AB12,Q:Q))</f>
        <v>142.78080543266313</v>
      </c>
      <c r="AQ12">
        <f t="shared" si="11"/>
        <v>18.277777777777779</v>
      </c>
      <c r="AR12" cm="1">
        <f t="array" ref="AR12">_xlfn.STDEV.P(IF($C:$C=$AB12,R:R))</f>
        <v>8.7529652118582071</v>
      </c>
      <c r="AS12">
        <f t="shared" si="12"/>
        <v>47.930434782608693</v>
      </c>
      <c r="AT12" cm="1">
        <f t="array" ref="AT12">_xlfn.STDEV.P(IF($C:$C=$AB12,S:S))</f>
        <v>18.807413006578027</v>
      </c>
      <c r="AU12">
        <f t="shared" si="13"/>
        <v>1.3452173913043479</v>
      </c>
      <c r="AV12" cm="1">
        <f t="array" ref="AV12">_xlfn.STDEV.P(IF($C:$C=$AB12,U:U))</f>
        <v>1.0339372514809588</v>
      </c>
      <c r="AW12">
        <f t="shared" si="14"/>
        <v>7.8999999999999995</v>
      </c>
      <c r="AX12" cm="1">
        <f t="array" ref="AX12">_xlfn.STDEV.P(IF($C:$C=$AB12,W:W))</f>
        <v>4.2425011490864684</v>
      </c>
      <c r="AY12">
        <f t="shared" si="15"/>
        <v>32.9</v>
      </c>
      <c r="AZ12" cm="1">
        <f t="array" ref="AZ12">_xlfn.STDEV.P(IF($C:$C=$AB12,X:X))</f>
        <v>15.609317217610769</v>
      </c>
    </row>
    <row r="13" spans="1:52" x14ac:dyDescent="0.3">
      <c r="A13">
        <v>1.8</v>
      </c>
      <c r="B13">
        <v>2017</v>
      </c>
      <c r="C13">
        <v>1</v>
      </c>
      <c r="D13">
        <v>24</v>
      </c>
      <c r="E13" t="s">
        <v>30</v>
      </c>
      <c r="F13">
        <v>7</v>
      </c>
      <c r="G13">
        <v>8.8999999999999996E-2</v>
      </c>
      <c r="H13">
        <v>0.04</v>
      </c>
      <c r="I13">
        <v>6.07</v>
      </c>
      <c r="J13">
        <v>1.1000000000000001</v>
      </c>
      <c r="K13">
        <v>1.06</v>
      </c>
      <c r="L13">
        <v>0.09</v>
      </c>
      <c r="M13">
        <v>16.5</v>
      </c>
      <c r="N13">
        <v>5.0999999999999996</v>
      </c>
      <c r="R13">
        <v>24</v>
      </c>
      <c r="S13">
        <v>45.4</v>
      </c>
      <c r="T13">
        <v>3.4</v>
      </c>
      <c r="U13">
        <v>1.69</v>
      </c>
      <c r="V13">
        <v>0.04</v>
      </c>
      <c r="AA13" t="s">
        <v>42</v>
      </c>
      <c r="AB13">
        <v>12</v>
      </c>
      <c r="AC13">
        <f t="shared" si="4"/>
        <v>0.16</v>
      </c>
      <c r="AD13" cm="1">
        <f t="array" ref="AD13">_xlfn.STDEV.P(IF($C:$C=$AB13,G:G))</f>
        <v>8.3932184352892514E-2</v>
      </c>
      <c r="AE13">
        <f t="shared" si="5"/>
        <v>7.9520000000000008</v>
      </c>
      <c r="AF13" cm="1">
        <f t="array" ref="AF13">_xlfn.STDEV.P(IF($C:$C=$AB13,I:I))</f>
        <v>3.9045578367884919</v>
      </c>
      <c r="AG13">
        <f t="shared" si="6"/>
        <v>1.341</v>
      </c>
      <c r="AH13" cm="1">
        <f t="array" ref="AH13">_xlfn.STDEV.P(IF($C:$C=$AB13,K:K))</f>
        <v>0.58938264381168026</v>
      </c>
      <c r="AI13">
        <f t="shared" si="7"/>
        <v>25.18</v>
      </c>
      <c r="AJ13" cm="1">
        <f t="array" ref="AJ13">_xlfn.STDEV.P(IF($C:$C=$AB13,M:M))</f>
        <v>11.141605445393697</v>
      </c>
      <c r="AK13">
        <f t="shared" si="8"/>
        <v>231.5</v>
      </c>
      <c r="AL13" cm="1">
        <f t="array" ref="AL13">_xlfn.STDEV.P(IF($C:$C=$AB13,O:O))</f>
        <v>112.19610930040649</v>
      </c>
      <c r="AM13">
        <f t="shared" si="9"/>
        <v>278</v>
      </c>
      <c r="AN13" cm="1">
        <f t="array" ref="AN13">_xlfn.STDEV.P(IF($C:$C=$AB13,P:P))</f>
        <v>133.85233012910808</v>
      </c>
      <c r="AO13">
        <f t="shared" si="10"/>
        <v>298.25</v>
      </c>
      <c r="AP13" cm="1">
        <f t="array" ref="AP13">_xlfn.STDEV.P(IF($C:$C=$AB13,Q:Q))</f>
        <v>143.5291314341724</v>
      </c>
      <c r="AQ13">
        <f t="shared" si="11"/>
        <v>28.6</v>
      </c>
      <c r="AR13" cm="1">
        <f t="array" ref="AR13">_xlfn.STDEV.P(IF($C:$C=$AB13,R:R))</f>
        <v>15.177734889094499</v>
      </c>
      <c r="AS13">
        <f t="shared" si="12"/>
        <v>45.45</v>
      </c>
      <c r="AT13" cm="1">
        <f t="array" ref="AT13">_xlfn.STDEV.P(IF($C:$C=$AB13,S:S))</f>
        <v>17.646365486298677</v>
      </c>
      <c r="AU13">
        <f t="shared" si="13"/>
        <v>1.5189999999999997</v>
      </c>
      <c r="AV13" cm="1">
        <f t="array" ref="AV13">_xlfn.STDEV.P(IF($C:$C=$AB13,U:U))</f>
        <v>1.35565116554541</v>
      </c>
      <c r="AW13">
        <f t="shared" si="14"/>
        <v>7.9</v>
      </c>
      <c r="AX13" cm="1">
        <f t="array" ref="AX13">_xlfn.STDEV.P(IF($C:$C=$AB13,W:W))</f>
        <v>4.0752224499441656</v>
      </c>
      <c r="AY13">
        <f t="shared" si="15"/>
        <v>23.066666666666666</v>
      </c>
      <c r="AZ13" cm="1">
        <f t="array" ref="AZ13">_xlfn.STDEV.P(IF($C:$C=$AB13,X:X))</f>
        <v>13.550542058627936</v>
      </c>
    </row>
    <row r="14" spans="1:52" x14ac:dyDescent="0.3">
      <c r="A14">
        <v>1.8333333329999999</v>
      </c>
      <c r="B14">
        <v>2017</v>
      </c>
      <c r="C14">
        <v>1</v>
      </c>
      <c r="D14">
        <v>25</v>
      </c>
      <c r="E14" t="s">
        <v>30</v>
      </c>
      <c r="G14">
        <v>0.08</v>
      </c>
      <c r="H14">
        <v>0.01</v>
      </c>
      <c r="I14">
        <v>3.53</v>
      </c>
      <c r="J14">
        <v>0.72</v>
      </c>
      <c r="K14">
        <v>1.1299999999999999</v>
      </c>
      <c r="L14">
        <v>0.31</v>
      </c>
      <c r="M14">
        <v>18.5</v>
      </c>
      <c r="N14">
        <v>1.5</v>
      </c>
      <c r="R14">
        <v>14</v>
      </c>
      <c r="S14">
        <v>66.900000000000006</v>
      </c>
      <c r="T14">
        <v>12.3</v>
      </c>
      <c r="U14">
        <v>0.65</v>
      </c>
      <c r="V14">
        <v>0.04</v>
      </c>
    </row>
    <row r="15" spans="1:52" x14ac:dyDescent="0.3">
      <c r="A15">
        <v>1.8333333329999999</v>
      </c>
      <c r="B15">
        <v>2017</v>
      </c>
      <c r="C15">
        <v>1</v>
      </c>
      <c r="D15">
        <v>25</v>
      </c>
      <c r="E15" t="s">
        <v>30</v>
      </c>
      <c r="F15">
        <v>11</v>
      </c>
      <c r="G15">
        <v>6.4000000000000001E-2</v>
      </c>
      <c r="H15">
        <v>2.4E-2</v>
      </c>
      <c r="I15">
        <v>7.7</v>
      </c>
      <c r="J15">
        <v>1.04</v>
      </c>
      <c r="K15">
        <v>1.43</v>
      </c>
      <c r="L15">
        <v>0.56000000000000005</v>
      </c>
      <c r="M15">
        <v>7.8</v>
      </c>
      <c r="N15">
        <v>4.4000000000000004</v>
      </c>
      <c r="R15">
        <v>17</v>
      </c>
      <c r="S15">
        <v>96.6</v>
      </c>
      <c r="T15">
        <v>16.399999999999999</v>
      </c>
      <c r="U15">
        <v>0.48</v>
      </c>
      <c r="V15">
        <v>0.04</v>
      </c>
    </row>
    <row r="16" spans="1:52" x14ac:dyDescent="0.3">
      <c r="A16">
        <v>1.8333333329999999</v>
      </c>
      <c r="B16">
        <v>2017</v>
      </c>
      <c r="C16">
        <v>1</v>
      </c>
      <c r="D16">
        <v>25</v>
      </c>
      <c r="E16" t="s">
        <v>30</v>
      </c>
      <c r="G16">
        <v>6.3E-2</v>
      </c>
      <c r="H16">
        <v>1.2E-2</v>
      </c>
      <c r="I16">
        <v>4.1100000000000003</v>
      </c>
      <c r="J16">
        <v>1.22</v>
      </c>
      <c r="K16">
        <v>0.72</v>
      </c>
      <c r="L16">
        <v>0.13</v>
      </c>
      <c r="M16">
        <v>19</v>
      </c>
      <c r="N16">
        <v>2.1</v>
      </c>
      <c r="O16">
        <v>229</v>
      </c>
      <c r="P16">
        <v>288</v>
      </c>
      <c r="Q16">
        <v>312</v>
      </c>
      <c r="R16">
        <v>22</v>
      </c>
      <c r="S16">
        <v>38.700000000000003</v>
      </c>
      <c r="T16">
        <v>4.0999999999999996</v>
      </c>
      <c r="U16">
        <v>2.33</v>
      </c>
      <c r="V16">
        <v>0.1</v>
      </c>
      <c r="W16">
        <v>5.2</v>
      </c>
      <c r="X16">
        <v>41.1</v>
      </c>
      <c r="Y16">
        <v>11.8</v>
      </c>
    </row>
    <row r="17" spans="1:25" x14ac:dyDescent="0.3">
      <c r="A17">
        <v>1.8333333329999999</v>
      </c>
      <c r="B17">
        <v>2017</v>
      </c>
      <c r="C17">
        <v>1</v>
      </c>
      <c r="D17">
        <v>25</v>
      </c>
      <c r="E17" t="s">
        <v>30</v>
      </c>
      <c r="F17">
        <v>8</v>
      </c>
      <c r="G17">
        <v>4.2999999999999997E-2</v>
      </c>
      <c r="H17">
        <v>1.9E-2</v>
      </c>
      <c r="I17">
        <v>5.08</v>
      </c>
      <c r="J17">
        <v>1.52</v>
      </c>
      <c r="K17">
        <v>0.67</v>
      </c>
      <c r="L17">
        <v>0.12</v>
      </c>
      <c r="M17">
        <v>12.2</v>
      </c>
      <c r="N17">
        <v>2.5</v>
      </c>
      <c r="O17">
        <v>209</v>
      </c>
      <c r="P17">
        <v>280</v>
      </c>
      <c r="Q17">
        <v>307</v>
      </c>
      <c r="R17">
        <v>23</v>
      </c>
      <c r="S17">
        <v>70.2</v>
      </c>
      <c r="T17">
        <v>14.9</v>
      </c>
      <c r="U17">
        <v>0.72</v>
      </c>
      <c r="V17">
        <v>0.05</v>
      </c>
      <c r="W17">
        <v>7.6</v>
      </c>
      <c r="X17">
        <v>6.1</v>
      </c>
      <c r="Y17">
        <v>2.5</v>
      </c>
    </row>
    <row r="18" spans="1:25" x14ac:dyDescent="0.3">
      <c r="A18">
        <v>1.8</v>
      </c>
      <c r="B18">
        <v>2017</v>
      </c>
      <c r="C18">
        <v>1</v>
      </c>
      <c r="D18">
        <v>24</v>
      </c>
      <c r="E18" t="s">
        <v>30</v>
      </c>
      <c r="F18">
        <v>12</v>
      </c>
      <c r="G18">
        <v>2.1000000000000001E-2</v>
      </c>
      <c r="H18">
        <v>7.0000000000000001E-3</v>
      </c>
      <c r="I18">
        <v>2.85</v>
      </c>
      <c r="J18">
        <v>1.36</v>
      </c>
      <c r="K18">
        <v>0.32</v>
      </c>
      <c r="L18">
        <v>0.04</v>
      </c>
      <c r="M18">
        <v>13.4</v>
      </c>
      <c r="N18">
        <v>5.9</v>
      </c>
      <c r="O18">
        <v>200</v>
      </c>
      <c r="P18">
        <v>272</v>
      </c>
      <c r="Q18">
        <v>301</v>
      </c>
      <c r="R18">
        <v>16</v>
      </c>
      <c r="S18">
        <v>41.2</v>
      </c>
      <c r="T18">
        <v>8</v>
      </c>
      <c r="U18">
        <v>1.31</v>
      </c>
      <c r="V18">
        <v>0.03</v>
      </c>
      <c r="W18">
        <v>9.3000000000000007</v>
      </c>
      <c r="X18">
        <v>6.3</v>
      </c>
      <c r="Y18">
        <v>4.8</v>
      </c>
    </row>
    <row r="19" spans="1:25" x14ac:dyDescent="0.3">
      <c r="A19">
        <v>1.8333333329999999</v>
      </c>
      <c r="B19">
        <v>2017</v>
      </c>
      <c r="C19">
        <v>1</v>
      </c>
      <c r="D19">
        <v>25</v>
      </c>
      <c r="E19" t="s">
        <v>30</v>
      </c>
      <c r="G19">
        <v>1.4999999999999999E-2</v>
      </c>
      <c r="H19">
        <v>8.0000000000000002E-3</v>
      </c>
      <c r="I19">
        <v>1.01</v>
      </c>
      <c r="J19">
        <v>0.3</v>
      </c>
      <c r="K19">
        <v>0.17</v>
      </c>
      <c r="L19">
        <v>0.05</v>
      </c>
      <c r="M19">
        <v>15.3</v>
      </c>
      <c r="N19">
        <v>2.7</v>
      </c>
      <c r="O19">
        <v>206</v>
      </c>
      <c r="P19">
        <v>284</v>
      </c>
      <c r="Q19">
        <v>306</v>
      </c>
      <c r="R19">
        <v>24</v>
      </c>
      <c r="S19">
        <v>36.9</v>
      </c>
      <c r="T19">
        <v>25.1</v>
      </c>
      <c r="U19">
        <v>1.58</v>
      </c>
      <c r="V19">
        <v>0.52</v>
      </c>
      <c r="W19">
        <v>10.1</v>
      </c>
    </row>
    <row r="20" spans="1:25" x14ac:dyDescent="0.3">
      <c r="A20">
        <v>2</v>
      </c>
      <c r="C20">
        <v>2</v>
      </c>
    </row>
    <row r="21" spans="1:25" x14ac:dyDescent="0.3">
      <c r="A21">
        <v>3.733333333</v>
      </c>
      <c r="B21">
        <v>2017</v>
      </c>
      <c r="C21">
        <v>3</v>
      </c>
      <c r="D21">
        <v>22</v>
      </c>
      <c r="E21" t="s">
        <v>43</v>
      </c>
      <c r="F21">
        <v>3</v>
      </c>
      <c r="G21">
        <v>0.153</v>
      </c>
      <c r="H21">
        <v>6.7000000000000004E-2</v>
      </c>
      <c r="I21">
        <v>2.38</v>
      </c>
      <c r="J21">
        <v>0.7</v>
      </c>
      <c r="K21">
        <v>1.25</v>
      </c>
      <c r="L21">
        <v>0.24</v>
      </c>
      <c r="M21">
        <v>29.2</v>
      </c>
      <c r="N21">
        <v>6</v>
      </c>
      <c r="R21">
        <v>5</v>
      </c>
      <c r="S21">
        <v>60.2</v>
      </c>
      <c r="T21">
        <v>10.3</v>
      </c>
      <c r="U21">
        <v>0.6</v>
      </c>
      <c r="V21">
        <v>0.04</v>
      </c>
    </row>
    <row r="22" spans="1:25" x14ac:dyDescent="0.3">
      <c r="A22">
        <v>3.6666666669999999</v>
      </c>
      <c r="B22">
        <v>2017</v>
      </c>
      <c r="C22">
        <v>3</v>
      </c>
      <c r="D22">
        <v>20</v>
      </c>
      <c r="E22" t="s">
        <v>43</v>
      </c>
      <c r="F22">
        <v>5</v>
      </c>
      <c r="G22">
        <v>0.111</v>
      </c>
      <c r="H22">
        <v>1.4E-2</v>
      </c>
      <c r="I22">
        <v>2.34</v>
      </c>
      <c r="J22">
        <v>0.78</v>
      </c>
      <c r="K22">
        <v>0.92</v>
      </c>
      <c r="L22">
        <v>7.0000000000000007E-2</v>
      </c>
      <c r="M22">
        <v>29.8</v>
      </c>
      <c r="N22">
        <v>4.5999999999999996</v>
      </c>
      <c r="O22">
        <v>191</v>
      </c>
      <c r="P22">
        <v>219</v>
      </c>
      <c r="Q22">
        <v>246</v>
      </c>
      <c r="R22">
        <v>17</v>
      </c>
      <c r="S22">
        <v>62.1</v>
      </c>
      <c r="T22">
        <v>31.7</v>
      </c>
      <c r="U22">
        <v>0.56999999999999995</v>
      </c>
      <c r="V22">
        <v>0.1</v>
      </c>
      <c r="W22">
        <v>9.4</v>
      </c>
    </row>
    <row r="23" spans="1:25" x14ac:dyDescent="0.3">
      <c r="A23">
        <v>3.6666666669999999</v>
      </c>
      <c r="B23">
        <v>2017</v>
      </c>
      <c r="C23">
        <v>3</v>
      </c>
      <c r="D23">
        <v>20</v>
      </c>
      <c r="E23" t="s">
        <v>43</v>
      </c>
      <c r="F23">
        <v>5</v>
      </c>
      <c r="G23">
        <v>0.1</v>
      </c>
      <c r="H23">
        <v>0.02</v>
      </c>
      <c r="I23">
        <v>6.5</v>
      </c>
      <c r="J23">
        <v>2.15</v>
      </c>
      <c r="K23">
        <v>1.23</v>
      </c>
      <c r="L23">
        <v>0.1</v>
      </c>
      <c r="M23">
        <v>17</v>
      </c>
      <c r="N23">
        <v>4.0999999999999996</v>
      </c>
      <c r="S23">
        <v>73.8</v>
      </c>
      <c r="T23">
        <v>21.1</v>
      </c>
      <c r="U23">
        <v>0.48</v>
      </c>
      <c r="V23">
        <v>0.04</v>
      </c>
    </row>
    <row r="24" spans="1:25" x14ac:dyDescent="0.3">
      <c r="A24">
        <v>3.7</v>
      </c>
      <c r="B24">
        <v>2017</v>
      </c>
      <c r="C24">
        <v>3</v>
      </c>
      <c r="D24">
        <v>21</v>
      </c>
      <c r="E24" t="s">
        <v>43</v>
      </c>
      <c r="F24">
        <v>3</v>
      </c>
      <c r="G24">
        <v>8.4000000000000005E-2</v>
      </c>
      <c r="H24">
        <v>3.3000000000000002E-2</v>
      </c>
      <c r="I24">
        <v>2.16</v>
      </c>
      <c r="J24">
        <v>1.06</v>
      </c>
      <c r="K24">
        <v>1.21</v>
      </c>
      <c r="L24">
        <v>0.35</v>
      </c>
      <c r="M24">
        <v>23.3</v>
      </c>
      <c r="N24">
        <v>3.7</v>
      </c>
      <c r="S24">
        <v>49.2</v>
      </c>
      <c r="T24">
        <v>9.4</v>
      </c>
      <c r="U24">
        <v>0.44</v>
      </c>
      <c r="V24">
        <v>0.02</v>
      </c>
    </row>
    <row r="25" spans="1:25" x14ac:dyDescent="0.3">
      <c r="A25">
        <v>3.7</v>
      </c>
      <c r="B25">
        <v>2017</v>
      </c>
      <c r="C25">
        <v>3</v>
      </c>
      <c r="D25">
        <v>21</v>
      </c>
      <c r="E25" t="s">
        <v>43</v>
      </c>
      <c r="F25">
        <v>7</v>
      </c>
      <c r="G25">
        <v>6.0999999999999999E-2</v>
      </c>
      <c r="H25">
        <v>1.9E-2</v>
      </c>
      <c r="I25">
        <v>4.5</v>
      </c>
      <c r="J25">
        <v>0.99</v>
      </c>
      <c r="K25">
        <v>0.85</v>
      </c>
      <c r="L25">
        <v>0.04</v>
      </c>
      <c r="M25">
        <v>16.399999999999999</v>
      </c>
      <c r="N25">
        <v>6.1</v>
      </c>
      <c r="S25">
        <v>60.5</v>
      </c>
      <c r="T25">
        <v>13</v>
      </c>
      <c r="U25">
        <v>0.8</v>
      </c>
      <c r="V25">
        <v>0.04</v>
      </c>
    </row>
    <row r="26" spans="1:25" x14ac:dyDescent="0.3">
      <c r="A26">
        <v>3.7</v>
      </c>
      <c r="B26">
        <v>2017</v>
      </c>
      <c r="C26">
        <v>3</v>
      </c>
      <c r="D26">
        <v>21</v>
      </c>
      <c r="E26" t="s">
        <v>43</v>
      </c>
      <c r="F26">
        <v>4</v>
      </c>
      <c r="G26">
        <v>3.5000000000000003E-2</v>
      </c>
      <c r="H26">
        <v>1.2E-2</v>
      </c>
      <c r="I26">
        <v>2.93</v>
      </c>
      <c r="J26">
        <v>1.52</v>
      </c>
      <c r="K26">
        <v>0.62</v>
      </c>
      <c r="L26">
        <v>0.24</v>
      </c>
      <c r="M26">
        <v>14.5</v>
      </c>
      <c r="N26">
        <v>1.9</v>
      </c>
      <c r="S26">
        <v>42.2</v>
      </c>
      <c r="T26">
        <v>8.6</v>
      </c>
      <c r="U26">
        <v>0.54</v>
      </c>
      <c r="V26">
        <v>0.03</v>
      </c>
    </row>
    <row r="27" spans="1:25" x14ac:dyDescent="0.3">
      <c r="A27">
        <v>3.6666666669999999</v>
      </c>
      <c r="B27">
        <v>2017</v>
      </c>
      <c r="C27">
        <v>3</v>
      </c>
      <c r="D27">
        <v>20</v>
      </c>
      <c r="E27" t="s">
        <v>43</v>
      </c>
      <c r="F27">
        <v>8</v>
      </c>
      <c r="G27">
        <v>2.9000000000000001E-2</v>
      </c>
      <c r="H27">
        <v>1.0999999999999999E-2</v>
      </c>
      <c r="I27">
        <v>2.15</v>
      </c>
      <c r="J27">
        <v>0.73</v>
      </c>
      <c r="K27">
        <v>0.42</v>
      </c>
      <c r="L27">
        <v>0.06</v>
      </c>
      <c r="M27">
        <v>13.1</v>
      </c>
      <c r="N27">
        <v>4.5999999999999996</v>
      </c>
      <c r="S27">
        <v>63.2</v>
      </c>
      <c r="T27">
        <v>15.9</v>
      </c>
      <c r="U27">
        <v>0.61</v>
      </c>
      <c r="V27">
        <v>0.06</v>
      </c>
    </row>
    <row r="28" spans="1:25" x14ac:dyDescent="0.3">
      <c r="A28">
        <v>3.1</v>
      </c>
      <c r="B28">
        <v>2015</v>
      </c>
      <c r="C28">
        <v>3</v>
      </c>
      <c r="D28">
        <v>3</v>
      </c>
      <c r="E28" t="s">
        <v>44</v>
      </c>
      <c r="G28">
        <v>0.26200000000000001</v>
      </c>
      <c r="H28">
        <v>0.109</v>
      </c>
      <c r="I28">
        <v>12.3</v>
      </c>
      <c r="J28">
        <v>10.3</v>
      </c>
      <c r="K28">
        <v>1.84</v>
      </c>
      <c r="L28">
        <v>0.49</v>
      </c>
      <c r="M28">
        <v>26.4</v>
      </c>
      <c r="N28">
        <v>2.7</v>
      </c>
      <c r="R28">
        <v>24</v>
      </c>
      <c r="S28">
        <v>50.1</v>
      </c>
      <c r="T28">
        <v>18.3</v>
      </c>
      <c r="U28">
        <v>1.47</v>
      </c>
      <c r="V28">
        <v>0.21</v>
      </c>
    </row>
    <row r="29" spans="1:25" x14ac:dyDescent="0.3">
      <c r="A29">
        <v>3.0666666669999998</v>
      </c>
      <c r="B29">
        <v>2015</v>
      </c>
      <c r="C29">
        <v>3</v>
      </c>
      <c r="D29">
        <v>2</v>
      </c>
      <c r="E29" t="s">
        <v>44</v>
      </c>
      <c r="G29">
        <v>0.252</v>
      </c>
      <c r="H29">
        <v>8.5999999999999993E-2</v>
      </c>
      <c r="I29">
        <v>5.8</v>
      </c>
      <c r="J29">
        <v>3.5</v>
      </c>
      <c r="K29">
        <v>1.34</v>
      </c>
      <c r="L29">
        <v>0.44</v>
      </c>
      <c r="M29">
        <v>40</v>
      </c>
      <c r="N29">
        <v>11.9</v>
      </c>
      <c r="O29">
        <v>274</v>
      </c>
      <c r="P29">
        <v>294</v>
      </c>
      <c r="Q29">
        <v>307</v>
      </c>
      <c r="R29">
        <v>17</v>
      </c>
      <c r="S29">
        <v>41.6</v>
      </c>
      <c r="T29">
        <v>5</v>
      </c>
      <c r="U29">
        <v>3.14</v>
      </c>
      <c r="V29">
        <v>0.21</v>
      </c>
      <c r="W29">
        <v>4.3</v>
      </c>
    </row>
    <row r="30" spans="1:25" x14ac:dyDescent="0.3">
      <c r="A30">
        <v>3.0666666669999998</v>
      </c>
      <c r="B30">
        <v>2015</v>
      </c>
      <c r="C30">
        <v>3</v>
      </c>
      <c r="D30">
        <v>2</v>
      </c>
      <c r="E30" t="s">
        <v>44</v>
      </c>
      <c r="G30">
        <v>0.19500000000000001</v>
      </c>
      <c r="H30">
        <v>4.2999999999999997E-2</v>
      </c>
      <c r="I30">
        <v>6.16</v>
      </c>
      <c r="J30">
        <v>0.57999999999999996</v>
      </c>
      <c r="K30">
        <v>1.01</v>
      </c>
      <c r="L30">
        <v>0.21</v>
      </c>
      <c r="M30">
        <v>36.200000000000003</v>
      </c>
      <c r="N30">
        <v>6.4</v>
      </c>
      <c r="R30">
        <v>15</v>
      </c>
      <c r="S30">
        <v>39.1</v>
      </c>
      <c r="T30">
        <v>13.4</v>
      </c>
      <c r="U30">
        <v>2.38</v>
      </c>
      <c r="V30">
        <v>0.3</v>
      </c>
    </row>
    <row r="31" spans="1:25" x14ac:dyDescent="0.3">
      <c r="A31">
        <v>3.0666666669999998</v>
      </c>
      <c r="B31">
        <v>2015</v>
      </c>
      <c r="C31">
        <v>3</v>
      </c>
      <c r="D31">
        <v>2</v>
      </c>
      <c r="E31" t="s">
        <v>44</v>
      </c>
      <c r="G31">
        <v>0.17899999999999999</v>
      </c>
      <c r="H31">
        <v>2.9000000000000001E-2</v>
      </c>
      <c r="I31">
        <v>6.3</v>
      </c>
      <c r="J31">
        <v>0.8</v>
      </c>
      <c r="K31">
        <v>1.04</v>
      </c>
      <c r="L31">
        <v>0.1</v>
      </c>
      <c r="M31">
        <v>28.9</v>
      </c>
      <c r="N31">
        <v>2.2999999999999998</v>
      </c>
      <c r="O31">
        <v>260</v>
      </c>
      <c r="P31">
        <v>296</v>
      </c>
      <c r="Q31">
        <v>311</v>
      </c>
      <c r="R31">
        <v>13</v>
      </c>
      <c r="S31">
        <v>42.3</v>
      </c>
      <c r="T31">
        <v>3.6</v>
      </c>
      <c r="U31">
        <v>5.58</v>
      </c>
      <c r="V31">
        <v>0.24</v>
      </c>
      <c r="W31">
        <v>4.4000000000000004</v>
      </c>
    </row>
    <row r="32" spans="1:25" x14ac:dyDescent="0.3">
      <c r="A32">
        <v>3.0666666669999998</v>
      </c>
      <c r="B32">
        <v>2015</v>
      </c>
      <c r="C32">
        <v>3</v>
      </c>
      <c r="D32">
        <v>2</v>
      </c>
      <c r="E32" t="s">
        <v>44</v>
      </c>
      <c r="G32">
        <v>0.17</v>
      </c>
      <c r="H32">
        <v>2.5999999999999999E-2</v>
      </c>
      <c r="I32">
        <v>4.71</v>
      </c>
      <c r="J32">
        <v>1.5</v>
      </c>
      <c r="K32">
        <v>0.55000000000000004</v>
      </c>
      <c r="L32">
        <v>0.09</v>
      </c>
      <c r="M32">
        <v>49.9</v>
      </c>
      <c r="N32">
        <v>7.5</v>
      </c>
      <c r="O32">
        <v>246</v>
      </c>
      <c r="P32">
        <v>287</v>
      </c>
      <c r="Q32">
        <v>304</v>
      </c>
      <c r="R32">
        <v>16</v>
      </c>
      <c r="S32">
        <v>36.200000000000003</v>
      </c>
      <c r="T32">
        <v>4.3</v>
      </c>
      <c r="U32">
        <v>6.29</v>
      </c>
      <c r="V32">
        <v>0.08</v>
      </c>
      <c r="W32">
        <v>5</v>
      </c>
    </row>
    <row r="33" spans="1:25" x14ac:dyDescent="0.3">
      <c r="A33">
        <v>3.0666666669999998</v>
      </c>
      <c r="B33">
        <v>2015</v>
      </c>
      <c r="C33">
        <v>3</v>
      </c>
      <c r="D33">
        <v>2</v>
      </c>
      <c r="E33" t="s">
        <v>44</v>
      </c>
      <c r="G33">
        <v>0.157</v>
      </c>
      <c r="H33">
        <v>9.9000000000000005E-2</v>
      </c>
      <c r="I33">
        <v>4.5</v>
      </c>
      <c r="J33">
        <v>2.2999999999999998</v>
      </c>
      <c r="K33">
        <v>0.83</v>
      </c>
      <c r="L33">
        <v>0.42</v>
      </c>
      <c r="M33">
        <v>35.5</v>
      </c>
      <c r="N33">
        <v>8</v>
      </c>
      <c r="O33">
        <v>267</v>
      </c>
      <c r="P33">
        <v>294</v>
      </c>
      <c r="Q33">
        <v>309</v>
      </c>
      <c r="R33">
        <v>16</v>
      </c>
      <c r="S33">
        <v>26.9</v>
      </c>
      <c r="T33">
        <v>16.899999999999999</v>
      </c>
      <c r="U33">
        <v>3</v>
      </c>
      <c r="V33">
        <v>0.91</v>
      </c>
      <c r="W33">
        <v>4.5</v>
      </c>
    </row>
    <row r="34" spans="1:25" x14ac:dyDescent="0.3">
      <c r="A34">
        <v>3.0666666669999998</v>
      </c>
      <c r="B34">
        <v>2015</v>
      </c>
      <c r="C34">
        <v>3</v>
      </c>
      <c r="D34">
        <v>2</v>
      </c>
      <c r="E34" t="s">
        <v>44</v>
      </c>
      <c r="G34">
        <v>0.155</v>
      </c>
      <c r="H34">
        <v>9.1999999999999998E-2</v>
      </c>
      <c r="I34">
        <v>9.3000000000000007</v>
      </c>
      <c r="J34">
        <v>3.5</v>
      </c>
      <c r="K34">
        <v>0.82</v>
      </c>
      <c r="L34">
        <v>0.2</v>
      </c>
      <c r="M34">
        <v>34.4</v>
      </c>
      <c r="N34">
        <v>7.7</v>
      </c>
      <c r="R34">
        <v>21</v>
      </c>
      <c r="S34">
        <v>33.4</v>
      </c>
      <c r="T34">
        <v>12.3</v>
      </c>
      <c r="U34">
        <v>2.06</v>
      </c>
      <c r="V34">
        <v>0.2</v>
      </c>
    </row>
    <row r="35" spans="1:25" x14ac:dyDescent="0.3">
      <c r="A35">
        <v>3.0666666669999998</v>
      </c>
      <c r="B35">
        <v>2015</v>
      </c>
      <c r="C35">
        <v>3</v>
      </c>
      <c r="D35">
        <v>2</v>
      </c>
      <c r="E35" t="s">
        <v>44</v>
      </c>
      <c r="G35">
        <v>0.151</v>
      </c>
      <c r="H35">
        <v>0.11899999999999999</v>
      </c>
      <c r="I35">
        <v>4.5</v>
      </c>
      <c r="J35">
        <v>1.5</v>
      </c>
      <c r="K35">
        <v>0.83</v>
      </c>
      <c r="L35">
        <v>0.46</v>
      </c>
      <c r="M35">
        <v>31.8</v>
      </c>
      <c r="N35">
        <v>13</v>
      </c>
      <c r="O35">
        <v>254</v>
      </c>
      <c r="P35">
        <v>286</v>
      </c>
      <c r="Q35">
        <v>302</v>
      </c>
      <c r="R35">
        <v>15</v>
      </c>
      <c r="S35">
        <v>25.7</v>
      </c>
      <c r="T35">
        <v>5.2</v>
      </c>
      <c r="U35">
        <v>3.46</v>
      </c>
      <c r="V35">
        <v>0.17</v>
      </c>
      <c r="W35">
        <v>4.8</v>
      </c>
    </row>
    <row r="36" spans="1:25" x14ac:dyDescent="0.3">
      <c r="A36">
        <v>3.0666666669999998</v>
      </c>
      <c r="B36">
        <v>2015</v>
      </c>
      <c r="C36">
        <v>3</v>
      </c>
      <c r="D36">
        <v>2</v>
      </c>
      <c r="E36" t="s">
        <v>44</v>
      </c>
      <c r="G36">
        <v>0.151</v>
      </c>
      <c r="H36">
        <v>2.7E-2</v>
      </c>
      <c r="I36">
        <v>6.75</v>
      </c>
      <c r="J36">
        <v>1.6</v>
      </c>
      <c r="K36">
        <v>1.32</v>
      </c>
      <c r="L36">
        <v>0.24</v>
      </c>
      <c r="M36">
        <v>26.3</v>
      </c>
      <c r="N36">
        <v>3.1</v>
      </c>
      <c r="S36">
        <v>45.8</v>
      </c>
      <c r="T36">
        <v>16.2</v>
      </c>
      <c r="U36">
        <v>1.79</v>
      </c>
      <c r="V36">
        <v>0.14000000000000001</v>
      </c>
    </row>
    <row r="37" spans="1:25" x14ac:dyDescent="0.3">
      <c r="A37">
        <v>4.4666666670000001</v>
      </c>
      <c r="B37">
        <v>2016</v>
      </c>
      <c r="C37">
        <v>4</v>
      </c>
      <c r="D37">
        <v>14</v>
      </c>
      <c r="E37" t="s">
        <v>43</v>
      </c>
      <c r="F37">
        <v>8</v>
      </c>
      <c r="G37">
        <v>0.13700000000000001</v>
      </c>
      <c r="H37">
        <v>6.4000000000000001E-2</v>
      </c>
      <c r="I37">
        <v>7.88</v>
      </c>
      <c r="J37">
        <v>1.53</v>
      </c>
      <c r="K37">
        <v>0.97</v>
      </c>
      <c r="L37">
        <v>0.15</v>
      </c>
      <c r="M37">
        <v>23.4</v>
      </c>
      <c r="N37">
        <v>8.3000000000000007</v>
      </c>
      <c r="O37">
        <v>224</v>
      </c>
      <c r="P37">
        <v>278</v>
      </c>
      <c r="Q37">
        <v>296</v>
      </c>
      <c r="R37">
        <v>19</v>
      </c>
      <c r="S37">
        <v>33</v>
      </c>
      <c r="T37">
        <v>1.9</v>
      </c>
      <c r="U37">
        <v>2.16</v>
      </c>
      <c r="V37">
        <v>0.04</v>
      </c>
      <c r="W37">
        <v>8.1</v>
      </c>
      <c r="X37">
        <v>49.5</v>
      </c>
      <c r="Y37">
        <v>3.1</v>
      </c>
    </row>
    <row r="38" spans="1:25" x14ac:dyDescent="0.3">
      <c r="A38">
        <v>4.5</v>
      </c>
      <c r="B38">
        <v>2016</v>
      </c>
      <c r="C38">
        <v>4</v>
      </c>
      <c r="D38">
        <v>15</v>
      </c>
      <c r="E38" t="s">
        <v>43</v>
      </c>
      <c r="G38">
        <v>0.13200000000000001</v>
      </c>
      <c r="H38">
        <v>1.0999999999999999E-2</v>
      </c>
      <c r="I38">
        <v>10.7</v>
      </c>
      <c r="J38">
        <v>3.5</v>
      </c>
      <c r="K38">
        <v>1.08</v>
      </c>
      <c r="L38">
        <v>0.12</v>
      </c>
      <c r="M38">
        <v>20</v>
      </c>
      <c r="N38">
        <v>1.5</v>
      </c>
      <c r="S38">
        <v>52.2</v>
      </c>
      <c r="T38">
        <v>15.6</v>
      </c>
      <c r="U38">
        <v>0.82</v>
      </c>
      <c r="V38">
        <v>0.05</v>
      </c>
    </row>
    <row r="39" spans="1:25" x14ac:dyDescent="0.3">
      <c r="A39">
        <v>4.5</v>
      </c>
      <c r="B39">
        <v>2016</v>
      </c>
      <c r="C39">
        <v>4</v>
      </c>
      <c r="D39">
        <v>15</v>
      </c>
      <c r="E39" t="s">
        <v>43</v>
      </c>
      <c r="G39">
        <v>0.126</v>
      </c>
      <c r="H39">
        <v>6.8000000000000005E-2</v>
      </c>
      <c r="I39">
        <v>8.43</v>
      </c>
      <c r="J39">
        <v>4.08</v>
      </c>
      <c r="K39">
        <v>0.91</v>
      </c>
      <c r="L39">
        <v>0.34</v>
      </c>
      <c r="M39">
        <v>21.7</v>
      </c>
      <c r="N39">
        <v>8.1</v>
      </c>
      <c r="R39">
        <v>11</v>
      </c>
      <c r="S39">
        <v>37.700000000000003</v>
      </c>
      <c r="T39">
        <v>9.6</v>
      </c>
      <c r="U39">
        <v>0.93</v>
      </c>
      <c r="V39">
        <v>0.12</v>
      </c>
    </row>
    <row r="40" spans="1:25" x14ac:dyDescent="0.3">
      <c r="A40">
        <v>4.4666666670000001</v>
      </c>
      <c r="B40">
        <v>2016</v>
      </c>
      <c r="C40">
        <v>4</v>
      </c>
      <c r="D40">
        <v>14</v>
      </c>
      <c r="E40" t="s">
        <v>43</v>
      </c>
      <c r="F40">
        <v>3</v>
      </c>
      <c r="G40">
        <v>0.126</v>
      </c>
      <c r="H40">
        <v>0.03</v>
      </c>
      <c r="I40">
        <v>7.89</v>
      </c>
      <c r="J40">
        <v>2.21</v>
      </c>
      <c r="K40">
        <v>0.74</v>
      </c>
      <c r="L40">
        <v>0.17</v>
      </c>
      <c r="M40">
        <v>26.7</v>
      </c>
      <c r="N40">
        <v>5</v>
      </c>
      <c r="O40">
        <v>223</v>
      </c>
      <c r="P40">
        <v>275</v>
      </c>
      <c r="Q40">
        <v>296</v>
      </c>
      <c r="R40">
        <v>13</v>
      </c>
      <c r="S40">
        <v>25</v>
      </c>
      <c r="T40">
        <v>6.1</v>
      </c>
      <c r="U40">
        <v>2.4300000000000002</v>
      </c>
      <c r="V40">
        <v>0.11</v>
      </c>
      <c r="W40">
        <v>3.5</v>
      </c>
    </row>
    <row r="41" spans="1:25" x14ac:dyDescent="0.3">
      <c r="A41">
        <v>4.5</v>
      </c>
      <c r="B41">
        <v>2016</v>
      </c>
      <c r="C41">
        <v>4</v>
      </c>
      <c r="D41">
        <v>15</v>
      </c>
      <c r="E41" t="s">
        <v>43</v>
      </c>
      <c r="G41">
        <v>0.124</v>
      </c>
      <c r="H41">
        <v>2.1999999999999999E-2</v>
      </c>
      <c r="I41">
        <v>8.39</v>
      </c>
      <c r="J41">
        <v>1.05</v>
      </c>
      <c r="K41">
        <v>1.07</v>
      </c>
      <c r="L41">
        <v>0.15</v>
      </c>
      <c r="M41">
        <v>23.1</v>
      </c>
      <c r="N41">
        <v>2.8</v>
      </c>
      <c r="R41">
        <v>9</v>
      </c>
      <c r="S41">
        <v>47</v>
      </c>
      <c r="T41">
        <v>16.100000000000001</v>
      </c>
      <c r="U41">
        <v>0.71</v>
      </c>
      <c r="V41">
        <v>0.12</v>
      </c>
    </row>
    <row r="42" spans="1:25" x14ac:dyDescent="0.3">
      <c r="A42">
        <v>4.5</v>
      </c>
      <c r="B42">
        <v>2016</v>
      </c>
      <c r="C42">
        <v>4</v>
      </c>
      <c r="D42">
        <v>15</v>
      </c>
      <c r="E42" t="s">
        <v>43</v>
      </c>
      <c r="F42">
        <v>10</v>
      </c>
      <c r="G42">
        <v>7.3999999999999996E-2</v>
      </c>
      <c r="H42">
        <v>0.04</v>
      </c>
      <c r="I42">
        <v>7.1</v>
      </c>
      <c r="J42">
        <v>2.82</v>
      </c>
      <c r="K42">
        <v>0.81</v>
      </c>
      <c r="L42">
        <v>0.28999999999999998</v>
      </c>
      <c r="M42">
        <v>17</v>
      </c>
      <c r="N42">
        <v>3.2</v>
      </c>
      <c r="O42">
        <v>261</v>
      </c>
      <c r="P42">
        <v>297</v>
      </c>
      <c r="Q42">
        <v>314</v>
      </c>
      <c r="R42">
        <v>20</v>
      </c>
      <c r="S42">
        <v>42.1</v>
      </c>
      <c r="T42">
        <v>4.0999999999999996</v>
      </c>
      <c r="U42">
        <v>3.19</v>
      </c>
      <c r="V42">
        <v>0.19</v>
      </c>
      <c r="W42">
        <v>4.8</v>
      </c>
      <c r="X42">
        <v>11.2</v>
      </c>
      <c r="Y42">
        <v>6.4</v>
      </c>
    </row>
    <row r="43" spans="1:25" x14ac:dyDescent="0.3">
      <c r="A43">
        <v>4.5</v>
      </c>
      <c r="B43">
        <v>2016</v>
      </c>
      <c r="C43">
        <v>4</v>
      </c>
      <c r="D43">
        <v>15</v>
      </c>
      <c r="E43" t="s">
        <v>43</v>
      </c>
      <c r="G43">
        <v>6.9000000000000006E-2</v>
      </c>
      <c r="H43">
        <v>3.3000000000000002E-2</v>
      </c>
      <c r="I43">
        <v>6.48</v>
      </c>
      <c r="J43">
        <v>2.42</v>
      </c>
      <c r="K43">
        <v>0.84</v>
      </c>
      <c r="L43">
        <v>0.33</v>
      </c>
      <c r="M43">
        <v>17.100000000000001</v>
      </c>
      <c r="N43">
        <v>2.9</v>
      </c>
      <c r="S43">
        <v>34.5</v>
      </c>
      <c r="T43">
        <v>12.9</v>
      </c>
      <c r="U43">
        <v>1.1100000000000001</v>
      </c>
      <c r="V43">
        <v>0.08</v>
      </c>
    </row>
    <row r="44" spans="1:25" x14ac:dyDescent="0.3">
      <c r="A44">
        <v>4.3333333329999997</v>
      </c>
      <c r="B44">
        <v>2017</v>
      </c>
      <c r="C44">
        <v>4</v>
      </c>
      <c r="D44">
        <v>10</v>
      </c>
      <c r="E44" t="s">
        <v>43</v>
      </c>
      <c r="F44">
        <v>2</v>
      </c>
      <c r="G44">
        <v>6.7000000000000004E-2</v>
      </c>
      <c r="H44">
        <v>1.6E-2</v>
      </c>
      <c r="I44">
        <v>1.65</v>
      </c>
      <c r="J44">
        <v>0.55000000000000004</v>
      </c>
      <c r="K44">
        <v>0.71</v>
      </c>
      <c r="L44">
        <v>0.2</v>
      </c>
      <c r="M44">
        <v>25.6</v>
      </c>
      <c r="N44">
        <v>5.0999999999999996</v>
      </c>
      <c r="S44">
        <v>71</v>
      </c>
      <c r="T44">
        <v>14.4</v>
      </c>
      <c r="U44">
        <v>0.65</v>
      </c>
      <c r="V44">
        <v>0.02</v>
      </c>
    </row>
    <row r="45" spans="1:25" x14ac:dyDescent="0.3">
      <c r="A45">
        <v>4.4666666670000001</v>
      </c>
      <c r="B45">
        <v>2016</v>
      </c>
      <c r="C45">
        <v>4</v>
      </c>
      <c r="D45">
        <v>14</v>
      </c>
      <c r="E45" t="s">
        <v>43</v>
      </c>
      <c r="F45">
        <v>10</v>
      </c>
      <c r="G45">
        <v>5.8000000000000003E-2</v>
      </c>
      <c r="H45">
        <v>1.2E-2</v>
      </c>
      <c r="I45">
        <v>6.41</v>
      </c>
      <c r="J45">
        <v>1.04</v>
      </c>
      <c r="K45">
        <v>0.55000000000000004</v>
      </c>
      <c r="L45">
        <v>0.03</v>
      </c>
      <c r="M45">
        <v>20.5</v>
      </c>
      <c r="N45">
        <v>4.0999999999999996</v>
      </c>
      <c r="O45">
        <v>217</v>
      </c>
      <c r="P45">
        <v>261</v>
      </c>
      <c r="Q45">
        <v>286</v>
      </c>
      <c r="R45">
        <v>8</v>
      </c>
      <c r="S45">
        <v>73.400000000000006</v>
      </c>
      <c r="T45">
        <v>15.2</v>
      </c>
      <c r="U45">
        <v>0.53</v>
      </c>
      <c r="V45">
        <v>0.04</v>
      </c>
      <c r="W45">
        <v>3.1</v>
      </c>
    </row>
    <row r="46" spans="1:25" x14ac:dyDescent="0.3">
      <c r="A46">
        <v>4.3</v>
      </c>
      <c r="B46">
        <v>2017</v>
      </c>
      <c r="C46">
        <v>4</v>
      </c>
      <c r="D46">
        <v>9</v>
      </c>
      <c r="E46" t="s">
        <v>43</v>
      </c>
      <c r="F46">
        <v>8</v>
      </c>
      <c r="G46">
        <v>5.5E-2</v>
      </c>
      <c r="H46">
        <v>2.4E-2</v>
      </c>
      <c r="I46">
        <v>3.23</v>
      </c>
      <c r="J46">
        <v>0.92</v>
      </c>
      <c r="K46">
        <v>0.97</v>
      </c>
      <c r="L46">
        <v>7.0000000000000007E-2</v>
      </c>
      <c r="M46">
        <v>17.899999999999999</v>
      </c>
      <c r="N46">
        <v>3.9</v>
      </c>
      <c r="S46">
        <v>51</v>
      </c>
      <c r="T46">
        <v>14.7</v>
      </c>
      <c r="U46">
        <v>0.68</v>
      </c>
      <c r="V46">
        <v>0.03</v>
      </c>
    </row>
    <row r="47" spans="1:25" x14ac:dyDescent="0.3">
      <c r="A47">
        <v>4.3</v>
      </c>
      <c r="B47">
        <v>2017</v>
      </c>
      <c r="C47">
        <v>4</v>
      </c>
      <c r="D47">
        <v>9</v>
      </c>
      <c r="E47" t="s">
        <v>43</v>
      </c>
      <c r="F47">
        <v>7</v>
      </c>
      <c r="G47">
        <v>3.4000000000000002E-2</v>
      </c>
      <c r="H47">
        <v>1.4999999999999999E-2</v>
      </c>
      <c r="I47">
        <v>2.57</v>
      </c>
      <c r="J47">
        <v>0.42</v>
      </c>
      <c r="K47">
        <v>0.54</v>
      </c>
      <c r="L47">
        <v>0.19</v>
      </c>
      <c r="M47">
        <v>14.4</v>
      </c>
      <c r="N47">
        <v>3.7</v>
      </c>
      <c r="R47">
        <v>14</v>
      </c>
      <c r="S47">
        <v>37.6</v>
      </c>
      <c r="T47">
        <v>11.2</v>
      </c>
      <c r="U47">
        <v>0.79</v>
      </c>
      <c r="V47">
        <v>7.0000000000000007E-2</v>
      </c>
    </row>
    <row r="48" spans="1:25" x14ac:dyDescent="0.3">
      <c r="A48">
        <v>4.3</v>
      </c>
      <c r="B48">
        <v>2017</v>
      </c>
      <c r="C48">
        <v>4</v>
      </c>
      <c r="D48">
        <v>9</v>
      </c>
      <c r="E48" t="s">
        <v>43</v>
      </c>
      <c r="F48">
        <v>8</v>
      </c>
      <c r="G48">
        <v>2.8000000000000001E-2</v>
      </c>
      <c r="H48">
        <v>4.0000000000000001E-3</v>
      </c>
      <c r="I48">
        <v>15.8</v>
      </c>
      <c r="J48">
        <v>3.95</v>
      </c>
      <c r="K48">
        <v>0.91</v>
      </c>
      <c r="L48">
        <v>0.1</v>
      </c>
      <c r="M48">
        <v>5.4</v>
      </c>
      <c r="N48">
        <v>1.4</v>
      </c>
      <c r="S48">
        <v>41.9</v>
      </c>
      <c r="T48">
        <v>7.4</v>
      </c>
      <c r="U48">
        <v>0.64</v>
      </c>
      <c r="V48">
        <v>0.02</v>
      </c>
    </row>
    <row r="49" spans="1:25" x14ac:dyDescent="0.3">
      <c r="A49">
        <v>4.3333333329999997</v>
      </c>
      <c r="B49">
        <v>2017</v>
      </c>
      <c r="C49">
        <v>4</v>
      </c>
      <c r="D49">
        <v>10</v>
      </c>
      <c r="E49" t="s">
        <v>43</v>
      </c>
      <c r="F49">
        <v>7</v>
      </c>
      <c r="G49">
        <v>2.1000000000000001E-2</v>
      </c>
      <c r="H49">
        <v>8.0000000000000002E-3</v>
      </c>
      <c r="I49">
        <v>9.44</v>
      </c>
      <c r="J49">
        <v>2.85</v>
      </c>
      <c r="K49">
        <v>0.73</v>
      </c>
      <c r="L49">
        <v>0.11</v>
      </c>
      <c r="M49">
        <v>5.9</v>
      </c>
      <c r="N49">
        <v>1.7</v>
      </c>
      <c r="R49">
        <v>10</v>
      </c>
      <c r="S49">
        <v>65.2</v>
      </c>
      <c r="T49">
        <v>14.3</v>
      </c>
      <c r="U49">
        <v>0.56000000000000005</v>
      </c>
      <c r="V49">
        <v>0.05</v>
      </c>
    </row>
    <row r="50" spans="1:25" x14ac:dyDescent="0.3">
      <c r="A50">
        <v>4.3333333329999997</v>
      </c>
      <c r="B50">
        <v>2017</v>
      </c>
      <c r="C50">
        <v>4</v>
      </c>
      <c r="D50">
        <v>10</v>
      </c>
      <c r="E50" t="s">
        <v>43</v>
      </c>
      <c r="F50">
        <v>8</v>
      </c>
      <c r="S50">
        <v>19.3</v>
      </c>
      <c r="T50">
        <v>4.4000000000000004</v>
      </c>
      <c r="U50">
        <v>0.65</v>
      </c>
      <c r="V50">
        <v>0.03</v>
      </c>
    </row>
    <row r="51" spans="1:25" x14ac:dyDescent="0.3">
      <c r="A51">
        <v>4.3333333329999997</v>
      </c>
      <c r="B51">
        <v>2017</v>
      </c>
      <c r="C51">
        <v>4</v>
      </c>
      <c r="D51">
        <v>10</v>
      </c>
      <c r="E51" t="s">
        <v>43</v>
      </c>
      <c r="F51">
        <v>3</v>
      </c>
      <c r="S51">
        <v>26.7</v>
      </c>
      <c r="T51">
        <v>3.4</v>
      </c>
      <c r="U51">
        <v>0.76</v>
      </c>
      <c r="V51">
        <v>0.06</v>
      </c>
    </row>
    <row r="52" spans="1:25" x14ac:dyDescent="0.3">
      <c r="A52">
        <v>4.5666666669999998</v>
      </c>
      <c r="B52">
        <v>2017</v>
      </c>
      <c r="C52">
        <v>4</v>
      </c>
      <c r="D52">
        <v>17</v>
      </c>
      <c r="E52" t="s">
        <v>44</v>
      </c>
      <c r="G52">
        <v>0.24099999999999999</v>
      </c>
      <c r="H52">
        <v>5.8999999999999997E-2</v>
      </c>
      <c r="I52">
        <v>12.8</v>
      </c>
      <c r="J52">
        <v>2.34</v>
      </c>
      <c r="K52">
        <v>1.56</v>
      </c>
      <c r="L52">
        <v>0.13</v>
      </c>
      <c r="M52">
        <v>27.6</v>
      </c>
      <c r="N52">
        <v>6.2</v>
      </c>
      <c r="O52">
        <v>216</v>
      </c>
      <c r="P52">
        <v>279</v>
      </c>
      <c r="Q52">
        <v>278</v>
      </c>
      <c r="R52">
        <v>8</v>
      </c>
      <c r="S52">
        <v>65.400000000000006</v>
      </c>
      <c r="T52">
        <v>8.6999999999999993</v>
      </c>
      <c r="U52">
        <v>0.47</v>
      </c>
      <c r="V52">
        <v>0.03</v>
      </c>
      <c r="W52">
        <v>7.5</v>
      </c>
    </row>
    <row r="53" spans="1:25" x14ac:dyDescent="0.3">
      <c r="A53">
        <v>4.5333333329999999</v>
      </c>
      <c r="B53">
        <v>2017</v>
      </c>
      <c r="C53">
        <v>4</v>
      </c>
      <c r="D53">
        <v>16</v>
      </c>
      <c r="E53" t="s">
        <v>44</v>
      </c>
      <c r="F53">
        <v>8</v>
      </c>
      <c r="G53">
        <v>0.22500000000000001</v>
      </c>
      <c r="H53">
        <v>0.04</v>
      </c>
      <c r="I53">
        <v>7.96</v>
      </c>
      <c r="J53">
        <v>0.4</v>
      </c>
      <c r="K53">
        <v>1.76</v>
      </c>
      <c r="L53">
        <v>0.08</v>
      </c>
      <c r="M53">
        <v>24.7</v>
      </c>
      <c r="N53">
        <v>4.3</v>
      </c>
      <c r="O53">
        <v>243</v>
      </c>
      <c r="P53">
        <v>279</v>
      </c>
      <c r="Q53">
        <v>296</v>
      </c>
      <c r="R53">
        <v>9</v>
      </c>
      <c r="S53">
        <v>38.200000000000003</v>
      </c>
      <c r="T53">
        <v>4.0999999999999996</v>
      </c>
      <c r="U53">
        <v>0.69</v>
      </c>
      <c r="V53">
        <v>0.02</v>
      </c>
      <c r="W53">
        <v>6.6</v>
      </c>
    </row>
    <row r="54" spans="1:25" x14ac:dyDescent="0.3">
      <c r="A54">
        <v>4.5666666669999998</v>
      </c>
      <c r="B54">
        <v>2017</v>
      </c>
      <c r="C54">
        <v>4</v>
      </c>
      <c r="D54">
        <v>17</v>
      </c>
      <c r="E54" t="s">
        <v>44</v>
      </c>
      <c r="F54">
        <v>6</v>
      </c>
      <c r="G54">
        <v>0.21</v>
      </c>
      <c r="H54">
        <v>0.11600000000000001</v>
      </c>
      <c r="I54">
        <v>10.199999999999999</v>
      </c>
      <c r="J54">
        <v>1.69</v>
      </c>
      <c r="K54">
        <v>1.81</v>
      </c>
      <c r="L54">
        <v>0.34</v>
      </c>
      <c r="M54">
        <v>19.8</v>
      </c>
      <c r="N54">
        <v>6.4</v>
      </c>
      <c r="O54">
        <v>191</v>
      </c>
      <c r="P54">
        <v>234</v>
      </c>
      <c r="Q54">
        <v>279</v>
      </c>
      <c r="R54">
        <v>7</v>
      </c>
      <c r="S54">
        <v>45.9</v>
      </c>
      <c r="T54">
        <v>8.9</v>
      </c>
      <c r="U54">
        <v>0.45</v>
      </c>
      <c r="V54">
        <v>0.03</v>
      </c>
      <c r="W54">
        <v>4.9000000000000004</v>
      </c>
    </row>
    <row r="55" spans="1:25" x14ac:dyDescent="0.3">
      <c r="A55">
        <v>4.5666666669999998</v>
      </c>
      <c r="B55">
        <v>2017</v>
      </c>
      <c r="C55">
        <v>4</v>
      </c>
      <c r="D55">
        <v>17</v>
      </c>
      <c r="E55" t="s">
        <v>44</v>
      </c>
      <c r="F55">
        <v>10</v>
      </c>
      <c r="G55">
        <v>0.188</v>
      </c>
      <c r="H55">
        <v>3.9E-2</v>
      </c>
      <c r="I55">
        <v>3.36</v>
      </c>
      <c r="J55">
        <v>1.22</v>
      </c>
      <c r="K55">
        <v>1.1000000000000001</v>
      </c>
      <c r="L55">
        <v>0.11</v>
      </c>
      <c r="M55">
        <v>26.3</v>
      </c>
      <c r="N55">
        <v>9.1999999999999993</v>
      </c>
      <c r="O55">
        <v>207</v>
      </c>
      <c r="P55">
        <v>271</v>
      </c>
      <c r="Q55">
        <v>295</v>
      </c>
      <c r="R55">
        <v>5</v>
      </c>
      <c r="S55">
        <v>37.200000000000003</v>
      </c>
      <c r="T55">
        <v>4.5</v>
      </c>
      <c r="U55">
        <v>0.8</v>
      </c>
      <c r="V55">
        <v>0.04</v>
      </c>
      <c r="W55">
        <v>4</v>
      </c>
      <c r="X55">
        <v>5.2</v>
      </c>
      <c r="Y55">
        <v>5.0999999999999996</v>
      </c>
    </row>
    <row r="56" spans="1:25" x14ac:dyDescent="0.3">
      <c r="A56">
        <v>4.5666666669999998</v>
      </c>
      <c r="B56">
        <v>2017</v>
      </c>
      <c r="C56">
        <v>4</v>
      </c>
      <c r="D56">
        <v>17</v>
      </c>
      <c r="E56" t="s">
        <v>44</v>
      </c>
      <c r="F56">
        <v>7</v>
      </c>
      <c r="G56">
        <v>0.16700000000000001</v>
      </c>
      <c r="H56">
        <v>2.5000000000000001E-2</v>
      </c>
      <c r="I56">
        <v>15.1</v>
      </c>
      <c r="J56">
        <v>2.09</v>
      </c>
      <c r="K56">
        <v>1.91</v>
      </c>
      <c r="L56">
        <v>0.14000000000000001</v>
      </c>
      <c r="M56">
        <v>13.2</v>
      </c>
      <c r="N56">
        <v>3.4</v>
      </c>
      <c r="O56">
        <v>201</v>
      </c>
      <c r="P56">
        <v>270</v>
      </c>
      <c r="Q56">
        <v>291</v>
      </c>
      <c r="R56">
        <v>7</v>
      </c>
      <c r="S56">
        <v>44.8</v>
      </c>
      <c r="T56">
        <v>8.8000000000000007</v>
      </c>
      <c r="U56">
        <v>0.42</v>
      </c>
      <c r="V56">
        <v>0.04</v>
      </c>
      <c r="W56">
        <v>5.0999999999999996</v>
      </c>
    </row>
    <row r="57" spans="1:25" x14ac:dyDescent="0.3">
      <c r="A57">
        <v>4.5666666669999998</v>
      </c>
      <c r="B57">
        <v>2017</v>
      </c>
      <c r="C57">
        <v>4</v>
      </c>
      <c r="D57">
        <v>17</v>
      </c>
      <c r="E57" t="s">
        <v>44</v>
      </c>
      <c r="F57">
        <v>5</v>
      </c>
      <c r="G57">
        <v>0.155</v>
      </c>
      <c r="H57">
        <v>4.3999999999999997E-2</v>
      </c>
      <c r="I57">
        <v>3.41</v>
      </c>
      <c r="J57">
        <v>0.74</v>
      </c>
      <c r="K57">
        <v>1.63</v>
      </c>
      <c r="L57">
        <v>0.16</v>
      </c>
      <c r="M57">
        <v>24.4</v>
      </c>
      <c r="N57">
        <v>3</v>
      </c>
      <c r="O57">
        <v>241</v>
      </c>
      <c r="P57">
        <v>288</v>
      </c>
      <c r="Q57">
        <v>307</v>
      </c>
      <c r="S57">
        <v>77</v>
      </c>
      <c r="T57">
        <v>19.7</v>
      </c>
      <c r="U57">
        <v>0.38</v>
      </c>
      <c r="V57">
        <v>0.02</v>
      </c>
      <c r="W57">
        <v>7.7</v>
      </c>
    </row>
    <row r="58" spans="1:25" x14ac:dyDescent="0.3">
      <c r="A58">
        <v>4.5333333329999999</v>
      </c>
      <c r="B58">
        <v>2017</v>
      </c>
      <c r="C58">
        <v>4</v>
      </c>
      <c r="D58">
        <v>16</v>
      </c>
      <c r="E58" t="s">
        <v>44</v>
      </c>
      <c r="F58">
        <v>4</v>
      </c>
      <c r="G58">
        <v>0.154</v>
      </c>
      <c r="H58">
        <v>2.8000000000000001E-2</v>
      </c>
      <c r="I58">
        <v>6.4</v>
      </c>
      <c r="J58">
        <v>1.79</v>
      </c>
      <c r="K58">
        <v>1.66</v>
      </c>
      <c r="L58">
        <v>0.27</v>
      </c>
      <c r="M58">
        <v>20.5</v>
      </c>
      <c r="N58">
        <v>4</v>
      </c>
      <c r="S58">
        <v>44.9</v>
      </c>
      <c r="T58">
        <v>9.6</v>
      </c>
      <c r="U58">
        <v>0.47</v>
      </c>
      <c r="V58">
        <v>0.04</v>
      </c>
    </row>
    <row r="59" spans="1:25" x14ac:dyDescent="0.3">
      <c r="A59">
        <v>4.5333333329999999</v>
      </c>
      <c r="B59">
        <v>2017</v>
      </c>
      <c r="C59">
        <v>4</v>
      </c>
      <c r="D59">
        <v>16</v>
      </c>
      <c r="E59" t="s">
        <v>44</v>
      </c>
      <c r="F59">
        <v>6</v>
      </c>
      <c r="G59">
        <v>0.14299999999999999</v>
      </c>
      <c r="H59">
        <v>0.01</v>
      </c>
      <c r="I59">
        <v>8.64</v>
      </c>
      <c r="J59">
        <v>1.27</v>
      </c>
      <c r="K59">
        <v>2.5</v>
      </c>
      <c r="L59">
        <v>0.62</v>
      </c>
      <c r="M59">
        <v>15.1</v>
      </c>
      <c r="N59">
        <v>0.8</v>
      </c>
      <c r="S59">
        <v>63.8</v>
      </c>
      <c r="T59">
        <v>11.2</v>
      </c>
      <c r="U59">
        <v>0.38</v>
      </c>
      <c r="V59">
        <v>0.02</v>
      </c>
    </row>
    <row r="60" spans="1:25" x14ac:dyDescent="0.3">
      <c r="A60">
        <v>4.5</v>
      </c>
      <c r="B60">
        <v>2017</v>
      </c>
      <c r="C60">
        <v>4</v>
      </c>
      <c r="D60">
        <v>15</v>
      </c>
      <c r="E60" t="s">
        <v>44</v>
      </c>
      <c r="F60">
        <v>5</v>
      </c>
      <c r="G60">
        <v>0.14099999999999999</v>
      </c>
      <c r="H60">
        <v>2.5000000000000001E-2</v>
      </c>
      <c r="I60">
        <v>4.66</v>
      </c>
      <c r="J60">
        <v>0.82</v>
      </c>
      <c r="K60">
        <v>1.54</v>
      </c>
      <c r="L60">
        <v>0.17</v>
      </c>
      <c r="M60">
        <v>21.9</v>
      </c>
      <c r="N60">
        <v>3.8</v>
      </c>
      <c r="O60">
        <v>201</v>
      </c>
      <c r="P60">
        <v>273</v>
      </c>
      <c r="Q60">
        <v>306</v>
      </c>
      <c r="S60">
        <v>48.2</v>
      </c>
      <c r="T60">
        <v>6.4</v>
      </c>
      <c r="U60">
        <v>0.51</v>
      </c>
      <c r="V60">
        <v>0.03</v>
      </c>
      <c r="W60">
        <v>15.1</v>
      </c>
    </row>
    <row r="61" spans="1:25" x14ac:dyDescent="0.3">
      <c r="A61">
        <v>4.5</v>
      </c>
      <c r="B61">
        <v>2017</v>
      </c>
      <c r="C61">
        <v>4</v>
      </c>
      <c r="D61">
        <v>15</v>
      </c>
      <c r="E61" t="s">
        <v>44</v>
      </c>
      <c r="F61">
        <v>6</v>
      </c>
      <c r="G61">
        <v>0.128</v>
      </c>
      <c r="H61">
        <v>3.5000000000000003E-2</v>
      </c>
      <c r="I61">
        <v>13</v>
      </c>
      <c r="J61">
        <v>1.59</v>
      </c>
      <c r="K61">
        <v>2.17</v>
      </c>
      <c r="L61">
        <v>0.12</v>
      </c>
      <c r="M61">
        <v>13.7</v>
      </c>
      <c r="N61">
        <v>2.7</v>
      </c>
      <c r="O61">
        <v>258</v>
      </c>
      <c r="P61">
        <v>282</v>
      </c>
      <c r="Q61">
        <v>294</v>
      </c>
      <c r="R61">
        <v>15</v>
      </c>
      <c r="S61">
        <v>48.7</v>
      </c>
      <c r="T61">
        <v>9.6999999999999993</v>
      </c>
      <c r="U61">
        <v>0.48</v>
      </c>
      <c r="V61">
        <v>0.03</v>
      </c>
      <c r="W61">
        <v>11.5</v>
      </c>
      <c r="X61">
        <v>40.299999999999997</v>
      </c>
      <c r="Y61">
        <v>8.5</v>
      </c>
    </row>
    <row r="62" spans="1:25" x14ac:dyDescent="0.3">
      <c r="A62">
        <v>4.5</v>
      </c>
      <c r="B62">
        <v>2017</v>
      </c>
      <c r="C62">
        <v>4</v>
      </c>
      <c r="D62">
        <v>15</v>
      </c>
      <c r="E62" t="s">
        <v>44</v>
      </c>
      <c r="F62">
        <v>4</v>
      </c>
      <c r="G62">
        <v>0.106</v>
      </c>
      <c r="H62">
        <v>2.5000000000000001E-2</v>
      </c>
      <c r="I62">
        <v>5.51</v>
      </c>
      <c r="J62">
        <v>2.09</v>
      </c>
      <c r="K62">
        <v>1.05</v>
      </c>
      <c r="L62">
        <v>0.21</v>
      </c>
      <c r="M62">
        <v>18.399999999999999</v>
      </c>
      <c r="N62">
        <v>6.2</v>
      </c>
      <c r="O62">
        <v>269</v>
      </c>
      <c r="P62">
        <v>293</v>
      </c>
      <c r="Q62">
        <v>307</v>
      </c>
      <c r="R62">
        <v>10</v>
      </c>
      <c r="S62">
        <v>39.299999999999997</v>
      </c>
      <c r="T62">
        <v>5.2</v>
      </c>
      <c r="U62">
        <v>0.72</v>
      </c>
      <c r="V62">
        <v>0.04</v>
      </c>
      <c r="W62">
        <v>15.7</v>
      </c>
    </row>
    <row r="63" spans="1:25" x14ac:dyDescent="0.3">
      <c r="A63">
        <v>4.5666666669999998</v>
      </c>
      <c r="B63">
        <v>2017</v>
      </c>
      <c r="C63">
        <v>4</v>
      </c>
      <c r="D63">
        <v>17</v>
      </c>
      <c r="E63" t="s">
        <v>44</v>
      </c>
      <c r="F63">
        <v>6</v>
      </c>
      <c r="G63">
        <v>0.106</v>
      </c>
      <c r="H63">
        <v>3.5999999999999997E-2</v>
      </c>
      <c r="I63">
        <v>8.94</v>
      </c>
      <c r="J63">
        <v>1.95</v>
      </c>
      <c r="K63">
        <v>1</v>
      </c>
      <c r="L63">
        <v>0.18</v>
      </c>
      <c r="M63">
        <v>18</v>
      </c>
      <c r="N63">
        <v>4.2</v>
      </c>
      <c r="O63">
        <v>209</v>
      </c>
      <c r="P63">
        <v>286</v>
      </c>
      <c r="Q63">
        <v>307</v>
      </c>
      <c r="R63">
        <v>6</v>
      </c>
      <c r="S63">
        <v>37.799999999999997</v>
      </c>
      <c r="T63">
        <v>4.0999999999999996</v>
      </c>
      <c r="U63">
        <v>0.81</v>
      </c>
      <c r="V63">
        <v>0.03</v>
      </c>
      <c r="W63">
        <v>4.7</v>
      </c>
    </row>
    <row r="64" spans="1:25" x14ac:dyDescent="0.3">
      <c r="A64">
        <v>4.5333333329999999</v>
      </c>
      <c r="B64">
        <v>2017</v>
      </c>
      <c r="C64">
        <v>4</v>
      </c>
      <c r="D64">
        <v>16</v>
      </c>
      <c r="E64" t="s">
        <v>44</v>
      </c>
      <c r="F64">
        <v>3</v>
      </c>
      <c r="G64">
        <v>0.105</v>
      </c>
      <c r="H64">
        <v>7.3999999999999996E-2</v>
      </c>
      <c r="I64">
        <v>5.41</v>
      </c>
      <c r="J64">
        <v>2.02</v>
      </c>
      <c r="K64">
        <v>1.47</v>
      </c>
      <c r="L64">
        <v>0.5</v>
      </c>
      <c r="M64">
        <v>21.7</v>
      </c>
      <c r="N64">
        <v>1.7</v>
      </c>
      <c r="O64">
        <v>248</v>
      </c>
      <c r="P64">
        <v>269</v>
      </c>
      <c r="Q64">
        <v>293</v>
      </c>
      <c r="S64">
        <v>71.400000000000006</v>
      </c>
      <c r="T64">
        <v>9.8000000000000007</v>
      </c>
      <c r="U64">
        <v>0.4</v>
      </c>
      <c r="V64">
        <v>0.03</v>
      </c>
      <c r="W64">
        <v>9</v>
      </c>
    </row>
    <row r="65" spans="1:25" x14ac:dyDescent="0.3">
      <c r="A65">
        <v>4.5666666669999998</v>
      </c>
      <c r="B65">
        <v>2017</v>
      </c>
      <c r="C65">
        <v>4</v>
      </c>
      <c r="D65">
        <v>17</v>
      </c>
      <c r="E65" t="s">
        <v>44</v>
      </c>
      <c r="F65">
        <v>4</v>
      </c>
      <c r="G65">
        <v>0.104</v>
      </c>
      <c r="H65">
        <v>6.0000000000000001E-3</v>
      </c>
      <c r="I65">
        <v>1.9</v>
      </c>
      <c r="J65">
        <v>0.56000000000000005</v>
      </c>
      <c r="K65">
        <v>0.77</v>
      </c>
      <c r="L65">
        <v>0.04</v>
      </c>
      <c r="M65">
        <v>31.1</v>
      </c>
      <c r="N65">
        <v>9.8000000000000007</v>
      </c>
      <c r="S65">
        <v>61.5</v>
      </c>
      <c r="T65">
        <v>10.199999999999999</v>
      </c>
      <c r="U65">
        <v>0.54</v>
      </c>
      <c r="V65">
        <v>0.02</v>
      </c>
    </row>
    <row r="66" spans="1:25" x14ac:dyDescent="0.3">
      <c r="A66">
        <v>4.5</v>
      </c>
      <c r="B66">
        <v>2017</v>
      </c>
      <c r="C66">
        <v>4</v>
      </c>
      <c r="D66">
        <v>15</v>
      </c>
      <c r="E66" t="s">
        <v>44</v>
      </c>
      <c r="F66">
        <v>5</v>
      </c>
      <c r="G66">
        <v>0.10199999999999999</v>
      </c>
      <c r="H66">
        <v>1.4999999999999999E-2</v>
      </c>
      <c r="I66">
        <v>3.23</v>
      </c>
      <c r="J66">
        <v>0.09</v>
      </c>
      <c r="K66">
        <v>0.64</v>
      </c>
      <c r="L66">
        <v>0.05</v>
      </c>
      <c r="M66">
        <v>30.9</v>
      </c>
      <c r="N66">
        <v>1.2</v>
      </c>
      <c r="O66">
        <v>230</v>
      </c>
      <c r="P66">
        <v>283</v>
      </c>
      <c r="Q66">
        <v>302</v>
      </c>
      <c r="R66">
        <v>17</v>
      </c>
      <c r="S66">
        <v>29</v>
      </c>
      <c r="T66">
        <v>2.5</v>
      </c>
      <c r="U66">
        <v>2</v>
      </c>
      <c r="V66">
        <v>0.03</v>
      </c>
      <c r="W66">
        <v>6.1</v>
      </c>
    </row>
    <row r="67" spans="1:25" x14ac:dyDescent="0.3">
      <c r="A67">
        <v>4.5</v>
      </c>
      <c r="B67">
        <v>2017</v>
      </c>
      <c r="C67">
        <v>4</v>
      </c>
      <c r="D67">
        <v>15</v>
      </c>
      <c r="E67" t="s">
        <v>44</v>
      </c>
      <c r="F67">
        <v>7</v>
      </c>
      <c r="G67">
        <v>0.1</v>
      </c>
      <c r="H67">
        <v>3.9E-2</v>
      </c>
      <c r="I67">
        <v>13.6</v>
      </c>
      <c r="J67">
        <v>2.4500000000000002</v>
      </c>
      <c r="K67">
        <v>1.1499999999999999</v>
      </c>
      <c r="L67">
        <v>0.24</v>
      </c>
      <c r="M67">
        <v>16.8</v>
      </c>
      <c r="N67">
        <v>3.2</v>
      </c>
      <c r="O67">
        <v>193</v>
      </c>
      <c r="P67">
        <v>245</v>
      </c>
      <c r="Q67">
        <v>278</v>
      </c>
      <c r="R67">
        <v>26</v>
      </c>
      <c r="S67">
        <v>48</v>
      </c>
      <c r="T67">
        <v>10.3</v>
      </c>
      <c r="U67">
        <v>0.47</v>
      </c>
      <c r="V67">
        <v>0.06</v>
      </c>
      <c r="W67">
        <v>11.7</v>
      </c>
    </row>
    <row r="68" spans="1:25" x14ac:dyDescent="0.3">
      <c r="A68">
        <v>4.5</v>
      </c>
      <c r="B68">
        <v>2017</v>
      </c>
      <c r="C68">
        <v>4</v>
      </c>
      <c r="D68">
        <v>15</v>
      </c>
      <c r="E68" t="s">
        <v>44</v>
      </c>
      <c r="F68">
        <v>18</v>
      </c>
      <c r="G68">
        <v>9.9000000000000005E-2</v>
      </c>
      <c r="H68">
        <v>2.9000000000000001E-2</v>
      </c>
      <c r="I68">
        <v>5.98</v>
      </c>
      <c r="J68">
        <v>0.42</v>
      </c>
      <c r="K68">
        <v>1.1200000000000001</v>
      </c>
      <c r="L68">
        <v>0.24</v>
      </c>
      <c r="M68">
        <v>26.9</v>
      </c>
      <c r="N68">
        <v>1.2</v>
      </c>
      <c r="O68">
        <v>233</v>
      </c>
      <c r="P68">
        <v>285</v>
      </c>
      <c r="Q68">
        <v>304</v>
      </c>
      <c r="R68">
        <v>20</v>
      </c>
      <c r="S68">
        <v>37.6</v>
      </c>
      <c r="T68">
        <v>9.1999999999999993</v>
      </c>
      <c r="U68">
        <v>2.66</v>
      </c>
      <c r="V68">
        <v>0.19</v>
      </c>
      <c r="W68">
        <v>6.1</v>
      </c>
      <c r="X68">
        <v>43.9</v>
      </c>
      <c r="Y68">
        <v>5.6</v>
      </c>
    </row>
    <row r="69" spans="1:25" x14ac:dyDescent="0.3">
      <c r="A69">
        <v>4.5</v>
      </c>
      <c r="B69">
        <v>2017</v>
      </c>
      <c r="C69">
        <v>4</v>
      </c>
      <c r="D69">
        <v>15</v>
      </c>
      <c r="E69" t="s">
        <v>44</v>
      </c>
      <c r="F69">
        <v>5</v>
      </c>
      <c r="G69">
        <v>9.0999999999999998E-2</v>
      </c>
      <c r="H69">
        <v>3.3000000000000002E-2</v>
      </c>
      <c r="I69">
        <v>3.14</v>
      </c>
      <c r="J69">
        <v>0.75</v>
      </c>
      <c r="K69">
        <v>1.18</v>
      </c>
      <c r="L69">
        <v>0.19</v>
      </c>
      <c r="M69">
        <v>19.100000000000001</v>
      </c>
      <c r="N69">
        <v>4.3</v>
      </c>
      <c r="O69">
        <v>242</v>
      </c>
      <c r="P69">
        <v>275</v>
      </c>
      <c r="Q69">
        <v>301</v>
      </c>
      <c r="S69">
        <v>55.3</v>
      </c>
      <c r="T69">
        <v>8.3000000000000007</v>
      </c>
      <c r="U69">
        <v>0.48</v>
      </c>
      <c r="V69">
        <v>0.02</v>
      </c>
      <c r="W69">
        <v>14</v>
      </c>
    </row>
    <row r="70" spans="1:25" x14ac:dyDescent="0.3">
      <c r="A70">
        <v>4.5666666669999998</v>
      </c>
      <c r="B70">
        <v>2017</v>
      </c>
      <c r="C70">
        <v>4</v>
      </c>
      <c r="D70">
        <v>17</v>
      </c>
      <c r="E70" t="s">
        <v>44</v>
      </c>
      <c r="F70">
        <v>3</v>
      </c>
      <c r="G70">
        <v>8.2000000000000003E-2</v>
      </c>
      <c r="H70">
        <v>2.5999999999999999E-2</v>
      </c>
      <c r="I70">
        <v>5.73</v>
      </c>
      <c r="J70">
        <v>1.24</v>
      </c>
      <c r="K70">
        <v>0.68</v>
      </c>
      <c r="L70">
        <v>0.22</v>
      </c>
      <c r="M70">
        <v>19.600000000000001</v>
      </c>
      <c r="N70">
        <v>2.7</v>
      </c>
      <c r="S70">
        <v>35.299999999999997</v>
      </c>
      <c r="T70">
        <v>6.2</v>
      </c>
      <c r="U70">
        <v>0.64</v>
      </c>
      <c r="V70">
        <v>0.04</v>
      </c>
    </row>
    <row r="71" spans="1:25" x14ac:dyDescent="0.3">
      <c r="A71">
        <v>4.5</v>
      </c>
      <c r="B71">
        <v>2017</v>
      </c>
      <c r="C71">
        <v>4</v>
      </c>
      <c r="D71">
        <v>15</v>
      </c>
      <c r="E71" t="s">
        <v>44</v>
      </c>
      <c r="F71">
        <v>7</v>
      </c>
      <c r="G71">
        <v>8.1000000000000003E-2</v>
      </c>
      <c r="H71">
        <v>3.7999999999999999E-2</v>
      </c>
      <c r="I71">
        <v>7.47</v>
      </c>
      <c r="J71">
        <v>1.88</v>
      </c>
      <c r="K71">
        <v>1.24</v>
      </c>
      <c r="L71">
        <v>0.32</v>
      </c>
      <c r="M71">
        <v>13.5</v>
      </c>
      <c r="N71">
        <v>3.6</v>
      </c>
      <c r="S71">
        <v>44.6</v>
      </c>
      <c r="T71">
        <v>13.4</v>
      </c>
      <c r="U71">
        <v>0.6</v>
      </c>
      <c r="V71">
        <v>0.02</v>
      </c>
    </row>
    <row r="72" spans="1:25" x14ac:dyDescent="0.3">
      <c r="A72">
        <v>4.5333333329999999</v>
      </c>
      <c r="B72">
        <v>2017</v>
      </c>
      <c r="C72">
        <v>4</v>
      </c>
      <c r="D72">
        <v>16</v>
      </c>
      <c r="E72" t="s">
        <v>44</v>
      </c>
      <c r="F72">
        <v>10</v>
      </c>
      <c r="G72">
        <v>7.2999999999999995E-2</v>
      </c>
      <c r="H72">
        <v>2.4E-2</v>
      </c>
      <c r="I72">
        <v>5.96</v>
      </c>
      <c r="J72">
        <v>0.66</v>
      </c>
      <c r="K72">
        <v>0.66</v>
      </c>
      <c r="L72">
        <v>0.08</v>
      </c>
      <c r="M72">
        <v>18.2</v>
      </c>
      <c r="N72">
        <v>4.0999999999999996</v>
      </c>
      <c r="S72">
        <v>44.4</v>
      </c>
      <c r="T72">
        <v>2.2000000000000002</v>
      </c>
      <c r="U72">
        <v>2.42</v>
      </c>
      <c r="V72">
        <v>0.04</v>
      </c>
    </row>
    <row r="73" spans="1:25" x14ac:dyDescent="0.3">
      <c r="A73">
        <v>4.5</v>
      </c>
      <c r="B73">
        <v>2017</v>
      </c>
      <c r="C73">
        <v>4</v>
      </c>
      <c r="D73">
        <v>15</v>
      </c>
      <c r="E73" t="s">
        <v>44</v>
      </c>
      <c r="G73">
        <v>7.1999999999999995E-2</v>
      </c>
      <c r="H73">
        <v>3.1E-2</v>
      </c>
      <c r="I73">
        <v>2.98</v>
      </c>
      <c r="J73">
        <v>0.49</v>
      </c>
      <c r="K73">
        <v>0.93</v>
      </c>
      <c r="L73">
        <v>0.12</v>
      </c>
      <c r="M73">
        <v>18.7</v>
      </c>
      <c r="N73">
        <v>4.5999999999999996</v>
      </c>
      <c r="O73">
        <v>205</v>
      </c>
      <c r="P73">
        <v>284</v>
      </c>
      <c r="Q73">
        <v>307</v>
      </c>
      <c r="R73">
        <v>15</v>
      </c>
      <c r="S73">
        <v>50</v>
      </c>
      <c r="T73">
        <v>10.9</v>
      </c>
      <c r="U73">
        <v>0.46</v>
      </c>
      <c r="V73">
        <v>0.04</v>
      </c>
      <c r="W73">
        <v>10.8</v>
      </c>
    </row>
    <row r="74" spans="1:25" x14ac:dyDescent="0.3">
      <c r="A74">
        <v>4.5666666669999998</v>
      </c>
      <c r="B74">
        <v>2017</v>
      </c>
      <c r="C74">
        <v>4</v>
      </c>
      <c r="D74">
        <v>17</v>
      </c>
      <c r="E74" t="s">
        <v>44</v>
      </c>
      <c r="F74">
        <v>13</v>
      </c>
      <c r="G74">
        <v>6.4000000000000001E-2</v>
      </c>
      <c r="H74">
        <v>1.4999999999999999E-2</v>
      </c>
      <c r="I74">
        <v>0.38</v>
      </c>
      <c r="J74">
        <v>7.0000000000000007E-2</v>
      </c>
      <c r="K74">
        <v>0.34</v>
      </c>
      <c r="L74">
        <v>0.01</v>
      </c>
      <c r="M74">
        <v>48.9</v>
      </c>
      <c r="N74">
        <v>6</v>
      </c>
      <c r="S74">
        <v>33.6</v>
      </c>
      <c r="T74">
        <v>4</v>
      </c>
      <c r="U74">
        <v>0.49</v>
      </c>
      <c r="V74">
        <v>0.03</v>
      </c>
    </row>
    <row r="75" spans="1:25" x14ac:dyDescent="0.3">
      <c r="A75">
        <v>4.5333333329999999</v>
      </c>
      <c r="B75">
        <v>2017</v>
      </c>
      <c r="C75">
        <v>4</v>
      </c>
      <c r="D75">
        <v>16</v>
      </c>
      <c r="E75" t="s">
        <v>44</v>
      </c>
      <c r="F75">
        <v>6</v>
      </c>
      <c r="G75">
        <v>4.7E-2</v>
      </c>
      <c r="H75">
        <v>5.0000000000000001E-3</v>
      </c>
      <c r="I75">
        <v>6.13</v>
      </c>
      <c r="J75">
        <v>0.53</v>
      </c>
      <c r="K75">
        <v>1.23</v>
      </c>
      <c r="L75">
        <v>0.1</v>
      </c>
      <c r="M75">
        <v>10.1</v>
      </c>
      <c r="N75">
        <v>2.7</v>
      </c>
      <c r="S75">
        <v>54.7</v>
      </c>
      <c r="T75">
        <v>8.3000000000000007</v>
      </c>
      <c r="U75">
        <v>0.44</v>
      </c>
      <c r="V75">
        <v>0.02</v>
      </c>
    </row>
    <row r="76" spans="1:25" x14ac:dyDescent="0.3">
      <c r="A76">
        <v>4.5</v>
      </c>
      <c r="B76">
        <v>2017</v>
      </c>
      <c r="C76">
        <v>4</v>
      </c>
      <c r="D76">
        <v>15</v>
      </c>
      <c r="E76" t="s">
        <v>44</v>
      </c>
      <c r="F76">
        <v>8</v>
      </c>
      <c r="G76">
        <v>4.1000000000000002E-2</v>
      </c>
      <c r="H76">
        <v>1.0999999999999999E-2</v>
      </c>
      <c r="I76">
        <v>10.8</v>
      </c>
      <c r="J76">
        <v>1.27</v>
      </c>
      <c r="K76">
        <v>0.77</v>
      </c>
      <c r="L76">
        <v>0.16</v>
      </c>
      <c r="M76">
        <v>8.8000000000000007</v>
      </c>
      <c r="N76">
        <v>1.7</v>
      </c>
      <c r="O76">
        <v>231</v>
      </c>
      <c r="P76">
        <v>277</v>
      </c>
      <c r="Q76">
        <v>294</v>
      </c>
      <c r="R76">
        <v>24</v>
      </c>
      <c r="S76">
        <v>47.8</v>
      </c>
      <c r="T76">
        <v>4</v>
      </c>
      <c r="U76">
        <v>1.2</v>
      </c>
      <c r="V76">
        <v>0.03</v>
      </c>
      <c r="W76">
        <v>11.9</v>
      </c>
      <c r="X76">
        <v>13.4</v>
      </c>
      <c r="Y76">
        <v>4.4000000000000004</v>
      </c>
    </row>
    <row r="77" spans="1:25" x14ac:dyDescent="0.3">
      <c r="A77">
        <v>4.5333333329999999</v>
      </c>
      <c r="B77">
        <v>2017</v>
      </c>
      <c r="C77">
        <v>4</v>
      </c>
      <c r="D77">
        <v>16</v>
      </c>
      <c r="E77" t="s">
        <v>44</v>
      </c>
      <c r="F77">
        <v>4</v>
      </c>
      <c r="G77">
        <v>3.5999999999999997E-2</v>
      </c>
      <c r="H77">
        <v>1.4999999999999999E-2</v>
      </c>
      <c r="I77">
        <v>3.07</v>
      </c>
      <c r="J77">
        <v>0.89</v>
      </c>
      <c r="K77">
        <v>0.71</v>
      </c>
      <c r="L77">
        <v>0.14000000000000001</v>
      </c>
      <c r="M77">
        <v>13.2</v>
      </c>
      <c r="N77">
        <v>2.5</v>
      </c>
      <c r="R77">
        <v>12</v>
      </c>
      <c r="S77">
        <v>60.4</v>
      </c>
      <c r="T77">
        <v>8.8000000000000007</v>
      </c>
      <c r="U77">
        <v>0.45</v>
      </c>
      <c r="V77">
        <v>0.03</v>
      </c>
    </row>
    <row r="78" spans="1:25" x14ac:dyDescent="0.3">
      <c r="A78">
        <v>4.5</v>
      </c>
      <c r="B78">
        <v>2017</v>
      </c>
      <c r="C78">
        <v>4</v>
      </c>
      <c r="D78">
        <v>15</v>
      </c>
      <c r="E78" t="s">
        <v>44</v>
      </c>
      <c r="F78">
        <v>7</v>
      </c>
      <c r="G78">
        <v>1.6E-2</v>
      </c>
      <c r="H78">
        <v>2E-3</v>
      </c>
      <c r="I78">
        <v>8.4600000000000009</v>
      </c>
      <c r="J78">
        <v>1.27</v>
      </c>
      <c r="K78">
        <v>0.63</v>
      </c>
      <c r="L78">
        <v>7.0000000000000007E-2</v>
      </c>
      <c r="M78">
        <v>5.0999999999999996</v>
      </c>
      <c r="N78">
        <v>0.1</v>
      </c>
      <c r="S78">
        <v>51.7</v>
      </c>
      <c r="T78">
        <v>13.7</v>
      </c>
      <c r="U78">
        <v>0.56000000000000005</v>
      </c>
      <c r="V78">
        <v>0.08</v>
      </c>
    </row>
    <row r="79" spans="1:25" x14ac:dyDescent="0.3">
      <c r="A79">
        <v>4.5333333329999999</v>
      </c>
      <c r="B79">
        <v>2017</v>
      </c>
      <c r="C79">
        <v>4</v>
      </c>
      <c r="D79">
        <v>16</v>
      </c>
      <c r="E79" t="s">
        <v>44</v>
      </c>
      <c r="F79">
        <v>4</v>
      </c>
      <c r="S79">
        <v>61.6</v>
      </c>
      <c r="T79">
        <v>17.899999999999999</v>
      </c>
      <c r="U79">
        <v>0.43</v>
      </c>
      <c r="V79">
        <v>0.02</v>
      </c>
    </row>
    <row r="80" spans="1:25" x14ac:dyDescent="0.3">
      <c r="A80">
        <v>4.5666666669999998</v>
      </c>
      <c r="B80">
        <v>2017</v>
      </c>
      <c r="C80">
        <v>4</v>
      </c>
      <c r="D80">
        <v>17</v>
      </c>
      <c r="E80" t="s">
        <v>44</v>
      </c>
      <c r="F80">
        <v>8</v>
      </c>
      <c r="O80">
        <v>195</v>
      </c>
      <c r="P80">
        <v>242</v>
      </c>
      <c r="Q80">
        <v>280</v>
      </c>
      <c r="W80">
        <v>4</v>
      </c>
    </row>
    <row r="81" spans="1:25" x14ac:dyDescent="0.3">
      <c r="A81">
        <v>5.4333333330000002</v>
      </c>
      <c r="B81">
        <v>2016</v>
      </c>
      <c r="C81">
        <v>5</v>
      </c>
      <c r="D81">
        <v>13</v>
      </c>
      <c r="E81" t="s">
        <v>43</v>
      </c>
      <c r="F81">
        <v>5</v>
      </c>
      <c r="G81">
        <v>0.42099999999999999</v>
      </c>
      <c r="H81">
        <v>0.111</v>
      </c>
      <c r="I81">
        <v>30.4</v>
      </c>
      <c r="J81">
        <v>2.5</v>
      </c>
      <c r="K81">
        <v>3.06</v>
      </c>
      <c r="L81">
        <v>0.37</v>
      </c>
      <c r="M81">
        <v>24.1</v>
      </c>
      <c r="N81">
        <v>4.0999999999999996</v>
      </c>
      <c r="S81">
        <v>58.9</v>
      </c>
      <c r="T81">
        <v>9.6999999999999993</v>
      </c>
      <c r="U81">
        <v>0.72</v>
      </c>
      <c r="V81">
        <v>0.03</v>
      </c>
    </row>
    <row r="82" spans="1:25" x14ac:dyDescent="0.3">
      <c r="A82">
        <v>5.8</v>
      </c>
      <c r="B82">
        <v>2015</v>
      </c>
      <c r="C82">
        <v>5</v>
      </c>
      <c r="D82">
        <v>24</v>
      </c>
      <c r="E82" t="s">
        <v>43</v>
      </c>
      <c r="G82">
        <v>0.28599999999999998</v>
      </c>
      <c r="H82">
        <v>9.2999999999999999E-2</v>
      </c>
      <c r="I82">
        <v>15.6</v>
      </c>
      <c r="J82">
        <v>4.38</v>
      </c>
      <c r="K82">
        <v>2.2000000000000002</v>
      </c>
      <c r="L82">
        <v>0.75</v>
      </c>
      <c r="M82">
        <v>23.7</v>
      </c>
      <c r="N82">
        <v>3.6</v>
      </c>
      <c r="O82">
        <v>220</v>
      </c>
      <c r="P82">
        <v>274</v>
      </c>
      <c r="Q82">
        <v>292</v>
      </c>
      <c r="R82">
        <v>15</v>
      </c>
      <c r="S82">
        <v>31.5</v>
      </c>
      <c r="T82">
        <v>14.8</v>
      </c>
      <c r="U82">
        <v>2.08</v>
      </c>
      <c r="V82">
        <v>0.32</v>
      </c>
      <c r="W82">
        <v>5.4</v>
      </c>
    </row>
    <row r="83" spans="1:25" x14ac:dyDescent="0.3">
      <c r="A83">
        <v>5.4333333330000002</v>
      </c>
      <c r="B83">
        <v>2016</v>
      </c>
      <c r="C83">
        <v>5</v>
      </c>
      <c r="D83">
        <v>13</v>
      </c>
      <c r="E83" t="s">
        <v>43</v>
      </c>
      <c r="F83">
        <v>5</v>
      </c>
      <c r="G83">
        <v>0.25</v>
      </c>
      <c r="H83">
        <v>8.5999999999999993E-2</v>
      </c>
      <c r="I83">
        <v>16.8</v>
      </c>
      <c r="J83">
        <v>3.9</v>
      </c>
      <c r="K83">
        <v>2.12</v>
      </c>
      <c r="L83">
        <v>0.32</v>
      </c>
      <c r="M83">
        <v>20.2</v>
      </c>
      <c r="N83">
        <v>4.8</v>
      </c>
      <c r="S83">
        <v>52.4</v>
      </c>
      <c r="T83">
        <v>15.7</v>
      </c>
      <c r="U83">
        <v>0.76</v>
      </c>
      <c r="V83">
        <v>0.08</v>
      </c>
    </row>
    <row r="84" spans="1:25" x14ac:dyDescent="0.3">
      <c r="A84">
        <v>5.3666666669999996</v>
      </c>
      <c r="B84">
        <v>2015</v>
      </c>
      <c r="C84">
        <v>5</v>
      </c>
      <c r="D84">
        <v>11</v>
      </c>
      <c r="E84" t="s">
        <v>43</v>
      </c>
      <c r="G84">
        <v>0.223</v>
      </c>
      <c r="H84">
        <v>5.8999999999999997E-2</v>
      </c>
      <c r="I84">
        <v>9.86</v>
      </c>
      <c r="J84">
        <v>1.87</v>
      </c>
      <c r="K84">
        <v>1.75</v>
      </c>
      <c r="L84">
        <v>0.39</v>
      </c>
      <c r="M84">
        <v>28.4</v>
      </c>
      <c r="N84">
        <v>5</v>
      </c>
      <c r="O84">
        <v>227</v>
      </c>
      <c r="P84">
        <v>284</v>
      </c>
      <c r="Q84">
        <v>303</v>
      </c>
      <c r="R84">
        <v>22</v>
      </c>
      <c r="S84">
        <v>30.2</v>
      </c>
      <c r="T84">
        <v>6.3</v>
      </c>
      <c r="U84">
        <v>3.05</v>
      </c>
      <c r="V84">
        <v>0.36</v>
      </c>
      <c r="W84">
        <v>8.4</v>
      </c>
    </row>
    <row r="85" spans="1:25" x14ac:dyDescent="0.3">
      <c r="A85">
        <v>5.6333333330000004</v>
      </c>
      <c r="B85">
        <v>2016</v>
      </c>
      <c r="C85">
        <v>5</v>
      </c>
      <c r="D85">
        <v>19</v>
      </c>
      <c r="E85" t="s">
        <v>43</v>
      </c>
      <c r="F85">
        <v>5</v>
      </c>
      <c r="G85">
        <v>0.215</v>
      </c>
      <c r="H85">
        <v>5.3999999999999999E-2</v>
      </c>
      <c r="I85">
        <v>8.11</v>
      </c>
      <c r="J85">
        <v>1.27</v>
      </c>
      <c r="K85">
        <v>2.12</v>
      </c>
      <c r="L85">
        <v>0.34</v>
      </c>
      <c r="M85">
        <v>19.8</v>
      </c>
      <c r="N85">
        <v>2.2999999999999998</v>
      </c>
      <c r="S85">
        <v>51.8</v>
      </c>
      <c r="T85">
        <v>10.7</v>
      </c>
      <c r="U85">
        <v>0.41</v>
      </c>
      <c r="V85">
        <v>0.06</v>
      </c>
    </row>
    <row r="86" spans="1:25" x14ac:dyDescent="0.3">
      <c r="A86">
        <v>5.3666666669999996</v>
      </c>
      <c r="B86">
        <v>2015</v>
      </c>
      <c r="C86">
        <v>5</v>
      </c>
      <c r="D86">
        <v>11</v>
      </c>
      <c r="E86" t="s">
        <v>43</v>
      </c>
      <c r="G86">
        <v>0.189</v>
      </c>
      <c r="H86">
        <v>0.08</v>
      </c>
      <c r="I86">
        <v>6.31</v>
      </c>
      <c r="J86">
        <v>1.4</v>
      </c>
      <c r="K86">
        <v>1.24</v>
      </c>
      <c r="L86">
        <v>0.3</v>
      </c>
      <c r="M86">
        <v>31.9</v>
      </c>
      <c r="N86">
        <v>6.7</v>
      </c>
      <c r="O86">
        <v>254</v>
      </c>
      <c r="P86">
        <v>291</v>
      </c>
      <c r="Q86">
        <v>308</v>
      </c>
      <c r="R86">
        <v>12</v>
      </c>
      <c r="S86">
        <v>37.1</v>
      </c>
      <c r="T86">
        <v>7.5</v>
      </c>
      <c r="U86">
        <v>3.51</v>
      </c>
      <c r="V86">
        <v>0.31</v>
      </c>
      <c r="W86">
        <v>7</v>
      </c>
    </row>
    <row r="87" spans="1:25" x14ac:dyDescent="0.3">
      <c r="A87">
        <v>5.4</v>
      </c>
      <c r="B87">
        <v>2016</v>
      </c>
      <c r="C87">
        <v>5</v>
      </c>
      <c r="D87">
        <v>12</v>
      </c>
      <c r="E87" t="s">
        <v>43</v>
      </c>
      <c r="F87">
        <v>7</v>
      </c>
      <c r="G87">
        <v>0.188</v>
      </c>
      <c r="H87">
        <v>7.1999999999999995E-2</v>
      </c>
      <c r="I87">
        <v>16.899999999999999</v>
      </c>
      <c r="J87">
        <v>1.2</v>
      </c>
      <c r="K87">
        <v>1.91</v>
      </c>
      <c r="L87">
        <v>0.39</v>
      </c>
      <c r="M87">
        <v>24.1</v>
      </c>
      <c r="N87">
        <v>7.4</v>
      </c>
      <c r="R87">
        <v>7</v>
      </c>
      <c r="S87">
        <v>81.3</v>
      </c>
      <c r="T87">
        <v>26.7</v>
      </c>
      <c r="U87">
        <v>0.49</v>
      </c>
      <c r="V87">
        <v>0.04</v>
      </c>
    </row>
    <row r="88" spans="1:25" x14ac:dyDescent="0.3">
      <c r="A88">
        <v>5.4</v>
      </c>
      <c r="B88">
        <v>2016</v>
      </c>
      <c r="C88">
        <v>5</v>
      </c>
      <c r="D88">
        <v>12</v>
      </c>
      <c r="E88" t="s">
        <v>43</v>
      </c>
      <c r="F88">
        <v>4</v>
      </c>
      <c r="G88">
        <v>0.18099999999999999</v>
      </c>
      <c r="H88">
        <v>5.1999999999999998E-2</v>
      </c>
      <c r="I88">
        <v>9.35</v>
      </c>
      <c r="J88">
        <v>2.69</v>
      </c>
      <c r="K88">
        <v>1.28</v>
      </c>
      <c r="L88">
        <v>0.15</v>
      </c>
      <c r="M88">
        <v>18.899999999999999</v>
      </c>
      <c r="N88">
        <v>4.8</v>
      </c>
      <c r="R88">
        <v>5</v>
      </c>
      <c r="S88">
        <v>38.700000000000003</v>
      </c>
      <c r="T88">
        <v>9.8000000000000007</v>
      </c>
      <c r="U88">
        <v>0.75</v>
      </c>
      <c r="V88">
        <v>0.06</v>
      </c>
    </row>
    <row r="89" spans="1:25" x14ac:dyDescent="0.3">
      <c r="A89">
        <v>5.6</v>
      </c>
      <c r="B89">
        <v>2016</v>
      </c>
      <c r="C89">
        <v>5</v>
      </c>
      <c r="D89">
        <v>18</v>
      </c>
      <c r="E89" t="s">
        <v>43</v>
      </c>
      <c r="F89">
        <v>4</v>
      </c>
      <c r="G89">
        <v>0.18099999999999999</v>
      </c>
      <c r="H89">
        <v>4.2000000000000003E-2</v>
      </c>
      <c r="I89">
        <v>16.600000000000001</v>
      </c>
      <c r="J89">
        <v>4.2</v>
      </c>
      <c r="K89">
        <v>1.84</v>
      </c>
      <c r="L89">
        <v>0.36</v>
      </c>
      <c r="M89">
        <v>17.899999999999999</v>
      </c>
      <c r="N89">
        <v>2.2000000000000002</v>
      </c>
      <c r="R89">
        <v>2</v>
      </c>
      <c r="S89">
        <v>88.5</v>
      </c>
      <c r="T89">
        <v>19.2</v>
      </c>
      <c r="U89">
        <v>0.56999999999999995</v>
      </c>
      <c r="V89">
        <v>0.06</v>
      </c>
    </row>
    <row r="90" spans="1:25" x14ac:dyDescent="0.3">
      <c r="A90">
        <v>5.8333333329999997</v>
      </c>
      <c r="B90">
        <v>2017</v>
      </c>
      <c r="C90">
        <v>5</v>
      </c>
      <c r="D90">
        <v>25</v>
      </c>
      <c r="E90" t="s">
        <v>43</v>
      </c>
      <c r="F90">
        <v>14</v>
      </c>
      <c r="G90">
        <v>0.17499999999999999</v>
      </c>
      <c r="H90">
        <v>5.8999999999999997E-2</v>
      </c>
      <c r="I90">
        <v>6.85</v>
      </c>
      <c r="J90">
        <v>1.22</v>
      </c>
      <c r="K90">
        <v>0.98</v>
      </c>
      <c r="L90">
        <v>0.1</v>
      </c>
      <c r="M90">
        <v>32.9</v>
      </c>
      <c r="N90">
        <v>6.4</v>
      </c>
      <c r="O90">
        <v>229</v>
      </c>
      <c r="P90">
        <v>284</v>
      </c>
      <c r="Q90">
        <v>303</v>
      </c>
      <c r="R90">
        <v>19</v>
      </c>
      <c r="S90">
        <v>33.4</v>
      </c>
      <c r="T90">
        <v>0.5</v>
      </c>
      <c r="U90">
        <v>7.95</v>
      </c>
      <c r="V90">
        <v>7.0000000000000007E-2</v>
      </c>
      <c r="W90">
        <v>10.4</v>
      </c>
      <c r="X90">
        <v>45.8</v>
      </c>
      <c r="Y90">
        <v>3.3</v>
      </c>
    </row>
    <row r="91" spans="1:25" x14ac:dyDescent="0.3">
      <c r="A91">
        <v>5.4</v>
      </c>
      <c r="B91">
        <v>2016</v>
      </c>
      <c r="C91">
        <v>5</v>
      </c>
      <c r="D91">
        <v>12</v>
      </c>
      <c r="E91" t="s">
        <v>43</v>
      </c>
      <c r="F91">
        <v>9</v>
      </c>
      <c r="G91">
        <v>0.16500000000000001</v>
      </c>
      <c r="H91">
        <v>4.4999999999999998E-2</v>
      </c>
      <c r="I91">
        <v>8.85</v>
      </c>
      <c r="J91">
        <v>1.35</v>
      </c>
      <c r="K91">
        <v>1.34</v>
      </c>
      <c r="L91">
        <v>0.17</v>
      </c>
      <c r="M91">
        <v>19.399999999999999</v>
      </c>
      <c r="N91">
        <v>3.1</v>
      </c>
      <c r="O91">
        <v>213</v>
      </c>
      <c r="P91">
        <v>253</v>
      </c>
      <c r="Q91">
        <v>295</v>
      </c>
      <c r="S91">
        <v>42.7</v>
      </c>
      <c r="T91">
        <v>13</v>
      </c>
      <c r="U91">
        <v>0.97</v>
      </c>
      <c r="V91">
        <v>0.12</v>
      </c>
      <c r="W91">
        <v>5.9</v>
      </c>
    </row>
    <row r="92" spans="1:25" x14ac:dyDescent="0.3">
      <c r="A92">
        <v>5.8</v>
      </c>
      <c r="B92">
        <v>2017</v>
      </c>
      <c r="C92">
        <v>5</v>
      </c>
      <c r="D92">
        <v>24</v>
      </c>
      <c r="E92" t="s">
        <v>43</v>
      </c>
      <c r="F92">
        <v>11</v>
      </c>
      <c r="G92">
        <v>0.156</v>
      </c>
      <c r="H92">
        <v>2.5999999999999999E-2</v>
      </c>
      <c r="I92">
        <v>13.1</v>
      </c>
      <c r="J92">
        <v>1.86</v>
      </c>
      <c r="K92">
        <v>2.06</v>
      </c>
      <c r="L92">
        <v>0.25</v>
      </c>
      <c r="M92">
        <v>16.600000000000001</v>
      </c>
      <c r="N92">
        <v>1.6</v>
      </c>
      <c r="O92">
        <v>216</v>
      </c>
      <c r="P92">
        <v>278</v>
      </c>
      <c r="Q92">
        <v>300</v>
      </c>
      <c r="S92">
        <v>43.5</v>
      </c>
      <c r="T92">
        <v>4.0999999999999996</v>
      </c>
      <c r="U92">
        <v>0.56999999999999995</v>
      </c>
      <c r="V92">
        <v>0.03</v>
      </c>
      <c r="W92">
        <v>7</v>
      </c>
    </row>
    <row r="93" spans="1:25" x14ac:dyDescent="0.3">
      <c r="A93">
        <v>5.5666666669999998</v>
      </c>
      <c r="B93">
        <v>2016</v>
      </c>
      <c r="C93">
        <v>5</v>
      </c>
      <c r="D93">
        <v>17</v>
      </c>
      <c r="E93" t="s">
        <v>43</v>
      </c>
      <c r="F93">
        <v>10</v>
      </c>
      <c r="G93">
        <v>0.153</v>
      </c>
      <c r="H93">
        <v>4.2999999999999997E-2</v>
      </c>
      <c r="I93">
        <v>8.52</v>
      </c>
      <c r="J93">
        <v>1.32</v>
      </c>
      <c r="K93">
        <v>1.21</v>
      </c>
      <c r="L93">
        <v>0.19</v>
      </c>
      <c r="M93">
        <v>23.4</v>
      </c>
      <c r="N93">
        <v>4.5999999999999996</v>
      </c>
      <c r="O93">
        <v>248</v>
      </c>
      <c r="P93">
        <v>280</v>
      </c>
      <c r="Q93">
        <v>296</v>
      </c>
      <c r="R93">
        <v>21</v>
      </c>
      <c r="S93">
        <v>35</v>
      </c>
      <c r="T93">
        <v>4.5999999999999996</v>
      </c>
      <c r="U93">
        <v>1.89</v>
      </c>
      <c r="V93">
        <v>7.0000000000000007E-2</v>
      </c>
      <c r="W93">
        <v>7.7</v>
      </c>
    </row>
    <row r="94" spans="1:25" x14ac:dyDescent="0.3">
      <c r="A94">
        <v>5.8</v>
      </c>
      <c r="B94">
        <v>2017</v>
      </c>
      <c r="C94">
        <v>5</v>
      </c>
      <c r="D94">
        <v>24</v>
      </c>
      <c r="E94" t="s">
        <v>43</v>
      </c>
      <c r="F94">
        <v>13</v>
      </c>
      <c r="G94">
        <v>0.152</v>
      </c>
      <c r="H94">
        <v>1.2E-2</v>
      </c>
      <c r="I94">
        <v>37</v>
      </c>
      <c r="J94">
        <v>9.5</v>
      </c>
      <c r="K94">
        <v>2.46</v>
      </c>
      <c r="L94">
        <v>0.33</v>
      </c>
      <c r="M94">
        <v>8.6</v>
      </c>
      <c r="N94">
        <v>1.3</v>
      </c>
      <c r="S94">
        <v>46.7</v>
      </c>
      <c r="T94">
        <v>9.9</v>
      </c>
      <c r="U94">
        <v>0.54</v>
      </c>
      <c r="V94">
        <v>0.06</v>
      </c>
    </row>
    <row r="95" spans="1:25" x14ac:dyDescent="0.3">
      <c r="A95">
        <v>5.4666666670000001</v>
      </c>
      <c r="B95">
        <v>2016</v>
      </c>
      <c r="C95">
        <v>5</v>
      </c>
      <c r="D95">
        <v>14</v>
      </c>
      <c r="E95" t="s">
        <v>43</v>
      </c>
      <c r="F95">
        <v>8</v>
      </c>
      <c r="G95">
        <v>0.14399999999999999</v>
      </c>
      <c r="H95">
        <v>3.4000000000000002E-2</v>
      </c>
      <c r="I95">
        <v>9.4600000000000009</v>
      </c>
      <c r="J95">
        <v>1.49</v>
      </c>
      <c r="K95">
        <v>0.79</v>
      </c>
      <c r="L95">
        <v>0.17</v>
      </c>
      <c r="M95">
        <v>18.8</v>
      </c>
      <c r="N95">
        <v>2.4</v>
      </c>
      <c r="R95">
        <v>10</v>
      </c>
      <c r="S95">
        <v>40.1</v>
      </c>
      <c r="T95">
        <v>7.6</v>
      </c>
      <c r="U95">
        <v>2.4300000000000002</v>
      </c>
      <c r="V95">
        <v>0.17</v>
      </c>
      <c r="X95">
        <v>39.1</v>
      </c>
      <c r="Y95">
        <v>2.2000000000000002</v>
      </c>
    </row>
    <row r="96" spans="1:25" x14ac:dyDescent="0.3">
      <c r="A96">
        <v>5.6</v>
      </c>
      <c r="B96">
        <v>2016</v>
      </c>
      <c r="C96">
        <v>5</v>
      </c>
      <c r="D96">
        <v>18</v>
      </c>
      <c r="E96" t="s">
        <v>43</v>
      </c>
      <c r="F96">
        <v>6</v>
      </c>
      <c r="G96">
        <v>0.14199999999999999</v>
      </c>
      <c r="H96">
        <v>2.8000000000000001E-2</v>
      </c>
      <c r="I96">
        <v>15.9</v>
      </c>
      <c r="J96">
        <v>8.5</v>
      </c>
      <c r="K96">
        <v>1.46</v>
      </c>
      <c r="L96">
        <v>0.33</v>
      </c>
      <c r="M96">
        <v>17.899999999999999</v>
      </c>
      <c r="N96">
        <v>5.8</v>
      </c>
      <c r="S96">
        <v>63.1</v>
      </c>
      <c r="T96">
        <v>10.3</v>
      </c>
      <c r="U96">
        <v>0.6</v>
      </c>
      <c r="V96">
        <v>0.04</v>
      </c>
    </row>
    <row r="97" spans="1:25" x14ac:dyDescent="0.3">
      <c r="A97">
        <v>5.5333333329999999</v>
      </c>
      <c r="B97">
        <v>2017</v>
      </c>
      <c r="C97">
        <v>5</v>
      </c>
      <c r="D97">
        <v>16</v>
      </c>
      <c r="E97" t="s">
        <v>43</v>
      </c>
      <c r="F97">
        <v>10</v>
      </c>
      <c r="G97">
        <v>0.14000000000000001</v>
      </c>
      <c r="H97">
        <v>1.7000000000000001E-2</v>
      </c>
      <c r="I97">
        <v>9.3000000000000007</v>
      </c>
      <c r="J97">
        <v>0.93</v>
      </c>
      <c r="K97">
        <v>0.97</v>
      </c>
      <c r="L97">
        <v>0.09</v>
      </c>
      <c r="M97">
        <v>19.399999999999999</v>
      </c>
      <c r="N97">
        <v>2.5</v>
      </c>
      <c r="O97">
        <v>184</v>
      </c>
      <c r="P97">
        <v>266</v>
      </c>
      <c r="Q97">
        <v>295</v>
      </c>
      <c r="R97">
        <v>24</v>
      </c>
      <c r="S97">
        <v>53.8</v>
      </c>
      <c r="T97">
        <v>2</v>
      </c>
      <c r="U97">
        <v>1.1200000000000001</v>
      </c>
      <c r="V97">
        <v>0.03</v>
      </c>
      <c r="W97">
        <v>12</v>
      </c>
    </row>
    <row r="98" spans="1:25" x14ac:dyDescent="0.3">
      <c r="A98">
        <v>5.3666666669999996</v>
      </c>
      <c r="B98">
        <v>2015</v>
      </c>
      <c r="C98">
        <v>5</v>
      </c>
      <c r="D98">
        <v>11</v>
      </c>
      <c r="E98" t="s">
        <v>43</v>
      </c>
      <c r="G98">
        <v>0.129</v>
      </c>
      <c r="H98">
        <v>6.3E-2</v>
      </c>
      <c r="I98">
        <v>6.72</v>
      </c>
      <c r="J98">
        <v>1.5</v>
      </c>
      <c r="K98">
        <v>0.62</v>
      </c>
      <c r="L98">
        <v>0.14000000000000001</v>
      </c>
      <c r="M98">
        <v>28.9</v>
      </c>
      <c r="N98">
        <v>10.6</v>
      </c>
      <c r="O98">
        <v>246</v>
      </c>
      <c r="P98">
        <v>288</v>
      </c>
      <c r="Q98">
        <v>307</v>
      </c>
      <c r="R98">
        <v>13</v>
      </c>
      <c r="S98">
        <v>48.9</v>
      </c>
      <c r="T98">
        <v>8.1</v>
      </c>
      <c r="U98">
        <v>4.68</v>
      </c>
      <c r="V98">
        <v>0.54</v>
      </c>
      <c r="W98">
        <v>8.3000000000000007</v>
      </c>
    </row>
    <row r="99" spans="1:25" x14ac:dyDescent="0.3">
      <c r="A99">
        <v>5.8</v>
      </c>
      <c r="B99">
        <v>2017</v>
      </c>
      <c r="C99">
        <v>5</v>
      </c>
      <c r="D99">
        <v>24</v>
      </c>
      <c r="E99" t="s">
        <v>43</v>
      </c>
      <c r="F99">
        <v>12</v>
      </c>
      <c r="G99">
        <v>0.129</v>
      </c>
      <c r="H99">
        <v>5.1999999999999998E-2</v>
      </c>
      <c r="I99">
        <v>7.08</v>
      </c>
      <c r="J99">
        <v>0.94</v>
      </c>
      <c r="K99">
        <v>1.37</v>
      </c>
      <c r="L99">
        <v>0.39</v>
      </c>
      <c r="M99">
        <v>18.7</v>
      </c>
      <c r="N99">
        <v>3.6</v>
      </c>
      <c r="S99">
        <v>69.400000000000006</v>
      </c>
      <c r="T99">
        <v>10.1</v>
      </c>
      <c r="U99">
        <v>0.35</v>
      </c>
      <c r="V99">
        <v>0.03</v>
      </c>
    </row>
    <row r="100" spans="1:25" x14ac:dyDescent="0.3">
      <c r="A100">
        <v>5.6</v>
      </c>
      <c r="B100">
        <v>2016</v>
      </c>
      <c r="C100">
        <v>5</v>
      </c>
      <c r="D100">
        <v>18</v>
      </c>
      <c r="E100" t="s">
        <v>43</v>
      </c>
      <c r="F100">
        <v>20</v>
      </c>
      <c r="G100">
        <v>0.125</v>
      </c>
      <c r="H100">
        <v>4.2000000000000003E-2</v>
      </c>
      <c r="I100">
        <v>8.4700000000000006</v>
      </c>
      <c r="J100">
        <v>1.93</v>
      </c>
      <c r="K100">
        <v>0.74</v>
      </c>
      <c r="L100">
        <v>0.13</v>
      </c>
      <c r="M100">
        <v>24.6</v>
      </c>
      <c r="N100">
        <v>7.1</v>
      </c>
      <c r="R100">
        <v>10</v>
      </c>
      <c r="S100">
        <v>36.299999999999997</v>
      </c>
      <c r="T100">
        <v>10.8</v>
      </c>
      <c r="U100">
        <v>3.71</v>
      </c>
      <c r="V100">
        <v>0.26</v>
      </c>
    </row>
    <row r="101" spans="1:25" x14ac:dyDescent="0.3">
      <c r="A101">
        <v>5.8</v>
      </c>
      <c r="B101">
        <v>2017</v>
      </c>
      <c r="C101">
        <v>5</v>
      </c>
      <c r="D101">
        <v>24</v>
      </c>
      <c r="E101" t="s">
        <v>43</v>
      </c>
      <c r="F101">
        <v>10</v>
      </c>
      <c r="G101">
        <v>0.11700000000000001</v>
      </c>
      <c r="H101">
        <v>0.01</v>
      </c>
      <c r="I101">
        <v>11.1</v>
      </c>
      <c r="J101">
        <v>2.52</v>
      </c>
      <c r="K101">
        <v>1.34</v>
      </c>
      <c r="L101">
        <v>0.03</v>
      </c>
      <c r="M101">
        <v>15.4</v>
      </c>
      <c r="N101">
        <v>0.2</v>
      </c>
      <c r="S101">
        <v>64.7</v>
      </c>
      <c r="T101">
        <v>12.2</v>
      </c>
      <c r="U101">
        <v>0.37</v>
      </c>
      <c r="V101">
        <v>0.03</v>
      </c>
    </row>
    <row r="102" spans="1:25" x14ac:dyDescent="0.3">
      <c r="A102">
        <v>5.4</v>
      </c>
      <c r="B102">
        <v>2016</v>
      </c>
      <c r="C102">
        <v>5</v>
      </c>
      <c r="D102">
        <v>12</v>
      </c>
      <c r="E102" t="s">
        <v>43</v>
      </c>
      <c r="F102">
        <v>4</v>
      </c>
      <c r="G102">
        <v>0.11600000000000001</v>
      </c>
      <c r="H102">
        <v>5.2999999999999999E-2</v>
      </c>
      <c r="I102">
        <v>14.9</v>
      </c>
      <c r="J102">
        <v>6.6</v>
      </c>
      <c r="K102">
        <v>1.45</v>
      </c>
      <c r="L102">
        <v>0.55000000000000004</v>
      </c>
      <c r="M102">
        <v>14.8</v>
      </c>
      <c r="N102">
        <v>2.6</v>
      </c>
      <c r="R102">
        <v>13</v>
      </c>
      <c r="S102">
        <v>34.700000000000003</v>
      </c>
      <c r="T102">
        <v>11.4</v>
      </c>
      <c r="U102">
        <v>0.47</v>
      </c>
      <c r="V102">
        <v>0.1</v>
      </c>
      <c r="X102">
        <v>23.9</v>
      </c>
      <c r="Y102">
        <v>0.9</v>
      </c>
    </row>
    <row r="103" spans="1:25" x14ac:dyDescent="0.3">
      <c r="A103">
        <v>5.6</v>
      </c>
      <c r="B103">
        <v>2016</v>
      </c>
      <c r="C103">
        <v>5</v>
      </c>
      <c r="D103">
        <v>18</v>
      </c>
      <c r="E103" t="s">
        <v>43</v>
      </c>
      <c r="F103">
        <v>8</v>
      </c>
      <c r="G103">
        <v>0.107</v>
      </c>
      <c r="H103">
        <v>1.7999999999999999E-2</v>
      </c>
      <c r="I103">
        <v>9.07</v>
      </c>
      <c r="J103">
        <v>1.45</v>
      </c>
      <c r="K103">
        <v>0.7</v>
      </c>
      <c r="L103">
        <v>0.1</v>
      </c>
      <c r="M103">
        <v>21</v>
      </c>
      <c r="N103">
        <v>1.3</v>
      </c>
      <c r="R103">
        <v>3</v>
      </c>
      <c r="S103">
        <v>39.4</v>
      </c>
      <c r="T103">
        <v>4.9000000000000004</v>
      </c>
      <c r="U103">
        <v>1.33</v>
      </c>
      <c r="V103">
        <v>0.08</v>
      </c>
    </row>
    <row r="104" spans="1:25" x14ac:dyDescent="0.3">
      <c r="A104">
        <v>5.5666666669999998</v>
      </c>
      <c r="B104">
        <v>2016</v>
      </c>
      <c r="C104">
        <v>5</v>
      </c>
      <c r="D104">
        <v>17</v>
      </c>
      <c r="E104" t="s">
        <v>43</v>
      </c>
      <c r="F104">
        <v>10</v>
      </c>
      <c r="G104">
        <v>0.106</v>
      </c>
      <c r="H104">
        <v>3.5999999999999997E-2</v>
      </c>
      <c r="I104">
        <v>10.1</v>
      </c>
      <c r="J104">
        <v>2.7</v>
      </c>
      <c r="K104">
        <v>0.97</v>
      </c>
      <c r="L104">
        <v>0.11</v>
      </c>
      <c r="M104">
        <v>16.7</v>
      </c>
      <c r="N104">
        <v>3.5</v>
      </c>
      <c r="R104">
        <v>9</v>
      </c>
      <c r="S104">
        <v>52.3</v>
      </c>
      <c r="T104">
        <v>8</v>
      </c>
      <c r="U104">
        <v>0.87</v>
      </c>
      <c r="V104">
        <v>0.04</v>
      </c>
    </row>
    <row r="105" spans="1:25" x14ac:dyDescent="0.3">
      <c r="A105">
        <v>5.3666666669999996</v>
      </c>
      <c r="B105">
        <v>2015</v>
      </c>
      <c r="C105">
        <v>5</v>
      </c>
      <c r="D105">
        <v>11</v>
      </c>
      <c r="E105" t="s">
        <v>43</v>
      </c>
      <c r="G105">
        <v>0.10199999999999999</v>
      </c>
      <c r="H105">
        <v>0.04</v>
      </c>
      <c r="I105">
        <v>2.59</v>
      </c>
      <c r="J105">
        <v>1.2</v>
      </c>
      <c r="K105">
        <v>0.6</v>
      </c>
      <c r="L105">
        <v>0.15</v>
      </c>
      <c r="M105">
        <v>31</v>
      </c>
      <c r="N105">
        <v>9.6999999999999993</v>
      </c>
      <c r="O105">
        <v>244</v>
      </c>
      <c r="P105">
        <v>287</v>
      </c>
      <c r="Q105">
        <v>306</v>
      </c>
      <c r="R105">
        <v>28</v>
      </c>
      <c r="S105">
        <v>49.6</v>
      </c>
      <c r="T105">
        <v>3</v>
      </c>
      <c r="U105">
        <v>2.69</v>
      </c>
      <c r="V105">
        <v>0.05</v>
      </c>
      <c r="W105">
        <v>8.6</v>
      </c>
    </row>
    <row r="106" spans="1:25" x14ac:dyDescent="0.3">
      <c r="A106">
        <v>5.4</v>
      </c>
      <c r="B106">
        <v>2016</v>
      </c>
      <c r="C106">
        <v>5</v>
      </c>
      <c r="D106">
        <v>12</v>
      </c>
      <c r="E106" t="s">
        <v>43</v>
      </c>
      <c r="F106">
        <v>11</v>
      </c>
      <c r="G106">
        <v>0.10100000000000001</v>
      </c>
      <c r="H106">
        <v>3.7999999999999999E-2</v>
      </c>
      <c r="I106">
        <v>10.9</v>
      </c>
      <c r="J106">
        <v>2.9</v>
      </c>
      <c r="K106">
        <v>0.86</v>
      </c>
      <c r="L106">
        <v>0.18</v>
      </c>
      <c r="M106">
        <v>17.600000000000001</v>
      </c>
      <c r="N106">
        <v>5</v>
      </c>
      <c r="O106">
        <v>221</v>
      </c>
      <c r="P106">
        <v>269</v>
      </c>
      <c r="Q106">
        <v>295</v>
      </c>
      <c r="R106">
        <v>15</v>
      </c>
      <c r="S106">
        <v>47.7</v>
      </c>
      <c r="T106">
        <v>8.8000000000000007</v>
      </c>
      <c r="U106">
        <v>1.3</v>
      </c>
      <c r="V106">
        <v>7.0000000000000007E-2</v>
      </c>
      <c r="W106">
        <v>4.5</v>
      </c>
    </row>
    <row r="107" spans="1:25" x14ac:dyDescent="0.3">
      <c r="A107">
        <v>5.8</v>
      </c>
      <c r="B107">
        <v>2015</v>
      </c>
      <c r="C107">
        <v>5</v>
      </c>
      <c r="D107">
        <v>24</v>
      </c>
      <c r="E107" t="s">
        <v>43</v>
      </c>
      <c r="G107">
        <v>9.8000000000000004E-2</v>
      </c>
      <c r="H107">
        <v>4.3999999999999997E-2</v>
      </c>
      <c r="I107">
        <v>3.99</v>
      </c>
      <c r="J107">
        <v>0.43</v>
      </c>
      <c r="K107">
        <v>0.75</v>
      </c>
      <c r="L107">
        <v>0.2</v>
      </c>
      <c r="M107">
        <v>25.5</v>
      </c>
      <c r="N107">
        <v>4.3</v>
      </c>
      <c r="O107">
        <v>198</v>
      </c>
      <c r="P107">
        <v>237</v>
      </c>
      <c r="Q107">
        <v>280</v>
      </c>
      <c r="R107">
        <v>29</v>
      </c>
      <c r="S107">
        <v>25.5</v>
      </c>
      <c r="T107">
        <v>4.3</v>
      </c>
      <c r="U107">
        <v>1.83</v>
      </c>
      <c r="V107">
        <v>0.1</v>
      </c>
      <c r="W107">
        <v>11.2</v>
      </c>
    </row>
    <row r="108" spans="1:25" x14ac:dyDescent="0.3">
      <c r="A108">
        <v>5.6333333330000004</v>
      </c>
      <c r="B108">
        <v>2016</v>
      </c>
      <c r="C108">
        <v>5</v>
      </c>
      <c r="D108">
        <v>19</v>
      </c>
      <c r="E108" t="s">
        <v>43</v>
      </c>
      <c r="F108">
        <v>27</v>
      </c>
      <c r="G108">
        <v>9.2999999999999999E-2</v>
      </c>
      <c r="H108">
        <v>3.3000000000000002E-2</v>
      </c>
      <c r="I108">
        <v>7.05</v>
      </c>
      <c r="J108">
        <v>1.41</v>
      </c>
      <c r="K108">
        <v>0.79</v>
      </c>
      <c r="L108">
        <v>0.14000000000000001</v>
      </c>
      <c r="M108">
        <v>20.6</v>
      </c>
      <c r="N108">
        <v>3.7</v>
      </c>
      <c r="R108">
        <v>27</v>
      </c>
      <c r="S108">
        <v>35.6</v>
      </c>
      <c r="T108">
        <v>6.2</v>
      </c>
      <c r="U108">
        <v>1.26</v>
      </c>
      <c r="V108">
        <v>0.05</v>
      </c>
    </row>
    <row r="109" spans="1:25" x14ac:dyDescent="0.3">
      <c r="A109">
        <v>5.4</v>
      </c>
      <c r="B109">
        <v>2016</v>
      </c>
      <c r="C109">
        <v>5</v>
      </c>
      <c r="D109">
        <v>12</v>
      </c>
      <c r="E109" t="s">
        <v>43</v>
      </c>
      <c r="F109">
        <v>7</v>
      </c>
      <c r="G109">
        <v>7.6999999999999999E-2</v>
      </c>
      <c r="H109">
        <v>0.02</v>
      </c>
      <c r="I109">
        <v>8.61</v>
      </c>
      <c r="J109">
        <v>2.2999999999999998</v>
      </c>
      <c r="K109">
        <v>0.87</v>
      </c>
      <c r="L109">
        <v>0.11</v>
      </c>
      <c r="M109">
        <v>16.600000000000001</v>
      </c>
      <c r="N109">
        <v>2.2000000000000002</v>
      </c>
      <c r="S109">
        <v>33.700000000000003</v>
      </c>
      <c r="T109">
        <v>9.4</v>
      </c>
      <c r="U109">
        <v>1.25</v>
      </c>
      <c r="V109">
        <v>0.09</v>
      </c>
    </row>
    <row r="110" spans="1:25" x14ac:dyDescent="0.3">
      <c r="A110">
        <v>5.4333333330000002</v>
      </c>
      <c r="B110">
        <v>2016</v>
      </c>
      <c r="C110">
        <v>5</v>
      </c>
      <c r="D110">
        <v>13</v>
      </c>
      <c r="E110" t="s">
        <v>43</v>
      </c>
      <c r="F110">
        <v>10</v>
      </c>
      <c r="G110">
        <v>7.4999999999999997E-2</v>
      </c>
      <c r="H110">
        <v>1.2E-2</v>
      </c>
      <c r="I110">
        <v>8.58</v>
      </c>
      <c r="J110">
        <v>2.62</v>
      </c>
      <c r="K110">
        <v>0.92</v>
      </c>
      <c r="L110">
        <v>0.28000000000000003</v>
      </c>
      <c r="M110">
        <v>16.399999999999999</v>
      </c>
      <c r="N110">
        <v>1.4</v>
      </c>
      <c r="R110">
        <v>9</v>
      </c>
      <c r="S110">
        <v>42.5</v>
      </c>
      <c r="T110">
        <v>8.9</v>
      </c>
      <c r="U110">
        <v>1.18</v>
      </c>
      <c r="V110">
        <v>0.09</v>
      </c>
    </row>
    <row r="111" spans="1:25" x14ac:dyDescent="0.3">
      <c r="A111">
        <v>5.4666666670000001</v>
      </c>
      <c r="B111">
        <v>2016</v>
      </c>
      <c r="C111">
        <v>5</v>
      </c>
      <c r="D111">
        <v>14</v>
      </c>
      <c r="E111" t="s">
        <v>43</v>
      </c>
      <c r="F111">
        <v>7</v>
      </c>
      <c r="G111">
        <v>7.3999999999999996E-2</v>
      </c>
      <c r="H111">
        <v>2.1999999999999999E-2</v>
      </c>
      <c r="I111">
        <v>10</v>
      </c>
      <c r="J111">
        <v>2.4</v>
      </c>
      <c r="K111">
        <v>0.81</v>
      </c>
      <c r="L111">
        <v>0.04</v>
      </c>
      <c r="M111">
        <v>14.2</v>
      </c>
      <c r="N111">
        <v>3.6</v>
      </c>
      <c r="R111">
        <v>18</v>
      </c>
      <c r="S111">
        <v>39.700000000000003</v>
      </c>
      <c r="T111">
        <v>4.3</v>
      </c>
      <c r="U111">
        <v>1.37</v>
      </c>
      <c r="V111">
        <v>0.06</v>
      </c>
      <c r="X111">
        <v>10.8</v>
      </c>
      <c r="Y111">
        <v>6.7</v>
      </c>
    </row>
    <row r="112" spans="1:25" x14ac:dyDescent="0.3">
      <c r="A112">
        <v>5.8333333329999997</v>
      </c>
      <c r="B112">
        <v>2017</v>
      </c>
      <c r="C112">
        <v>5</v>
      </c>
      <c r="D112">
        <v>25</v>
      </c>
      <c r="E112" t="s">
        <v>43</v>
      </c>
      <c r="F112">
        <v>5</v>
      </c>
      <c r="G112">
        <v>7.1999999999999995E-2</v>
      </c>
      <c r="H112">
        <v>0.02</v>
      </c>
      <c r="I112">
        <v>4.5599999999999996</v>
      </c>
      <c r="J112">
        <v>1.19</v>
      </c>
      <c r="K112">
        <v>1.04</v>
      </c>
      <c r="L112">
        <v>0.18</v>
      </c>
      <c r="M112">
        <v>14.4</v>
      </c>
      <c r="N112">
        <v>1.7</v>
      </c>
      <c r="S112">
        <v>74.3</v>
      </c>
      <c r="T112">
        <v>13.4</v>
      </c>
      <c r="U112">
        <v>0.48</v>
      </c>
      <c r="V112">
        <v>0.02</v>
      </c>
    </row>
    <row r="113" spans="1:25" x14ac:dyDescent="0.3">
      <c r="A113">
        <v>5.4666666670000001</v>
      </c>
      <c r="B113">
        <v>2016</v>
      </c>
      <c r="C113">
        <v>5</v>
      </c>
      <c r="D113">
        <v>14</v>
      </c>
      <c r="E113" t="s">
        <v>43</v>
      </c>
      <c r="F113">
        <v>8</v>
      </c>
      <c r="G113">
        <v>6.9000000000000006E-2</v>
      </c>
      <c r="H113">
        <v>1.4999999999999999E-2</v>
      </c>
      <c r="I113">
        <v>19.5</v>
      </c>
      <c r="J113">
        <v>3.2</v>
      </c>
      <c r="K113">
        <v>1.17</v>
      </c>
      <c r="L113">
        <v>0.12</v>
      </c>
      <c r="M113">
        <v>8.3000000000000007</v>
      </c>
      <c r="N113">
        <v>1.4</v>
      </c>
      <c r="S113">
        <v>46.7</v>
      </c>
      <c r="T113">
        <v>9.6</v>
      </c>
      <c r="U113">
        <v>1.03</v>
      </c>
      <c r="V113">
        <v>0.03</v>
      </c>
    </row>
    <row r="114" spans="1:25" x14ac:dyDescent="0.3">
      <c r="A114">
        <v>5.4333333330000002</v>
      </c>
      <c r="B114">
        <v>2016</v>
      </c>
      <c r="C114">
        <v>5</v>
      </c>
      <c r="D114">
        <v>13</v>
      </c>
      <c r="E114" t="s">
        <v>43</v>
      </c>
      <c r="F114">
        <v>4</v>
      </c>
      <c r="G114">
        <v>5.2999999999999999E-2</v>
      </c>
      <c r="H114">
        <v>1.7000000000000001E-2</v>
      </c>
      <c r="I114">
        <v>3.26</v>
      </c>
      <c r="J114">
        <v>0.35</v>
      </c>
      <c r="K114">
        <v>0.5</v>
      </c>
      <c r="L114">
        <v>0.06</v>
      </c>
      <c r="M114">
        <v>19.7</v>
      </c>
      <c r="N114">
        <v>5.3</v>
      </c>
      <c r="R114">
        <v>11</v>
      </c>
      <c r="S114">
        <v>39.200000000000003</v>
      </c>
      <c r="T114">
        <v>12.7</v>
      </c>
      <c r="U114">
        <v>1.23</v>
      </c>
      <c r="V114">
        <v>0.12</v>
      </c>
    </row>
    <row r="115" spans="1:25" x14ac:dyDescent="0.3">
      <c r="A115">
        <v>5.766666667</v>
      </c>
      <c r="B115">
        <v>2017</v>
      </c>
      <c r="C115">
        <v>5</v>
      </c>
      <c r="D115">
        <v>23</v>
      </c>
      <c r="E115" t="s">
        <v>43</v>
      </c>
      <c r="F115">
        <v>8</v>
      </c>
      <c r="G115">
        <v>0.05</v>
      </c>
      <c r="H115">
        <v>1.2999999999999999E-2</v>
      </c>
      <c r="I115">
        <v>2.19</v>
      </c>
      <c r="J115">
        <v>0.37</v>
      </c>
      <c r="K115">
        <v>0.36</v>
      </c>
      <c r="L115">
        <v>0.09</v>
      </c>
      <c r="M115">
        <v>34.5</v>
      </c>
      <c r="N115">
        <v>3.8</v>
      </c>
      <c r="O115">
        <v>285</v>
      </c>
      <c r="P115">
        <v>302</v>
      </c>
      <c r="Q115">
        <v>316</v>
      </c>
      <c r="R115">
        <v>14</v>
      </c>
      <c r="S115">
        <v>39</v>
      </c>
      <c r="T115">
        <v>5.9</v>
      </c>
      <c r="U115">
        <v>1.0900000000000001</v>
      </c>
      <c r="V115">
        <v>0.04</v>
      </c>
      <c r="W115">
        <v>19</v>
      </c>
    </row>
    <row r="116" spans="1:25" x14ac:dyDescent="0.3">
      <c r="A116">
        <v>5.6333333330000004</v>
      </c>
      <c r="B116">
        <v>2016</v>
      </c>
      <c r="C116">
        <v>5</v>
      </c>
      <c r="D116">
        <v>19</v>
      </c>
      <c r="E116" t="s">
        <v>43</v>
      </c>
      <c r="F116">
        <v>10</v>
      </c>
      <c r="G116">
        <v>4.8000000000000001E-2</v>
      </c>
      <c r="H116">
        <v>6.0000000000000001E-3</v>
      </c>
      <c r="I116">
        <v>4.05</v>
      </c>
      <c r="J116">
        <v>0.57999999999999996</v>
      </c>
      <c r="K116">
        <v>0.31</v>
      </c>
      <c r="L116">
        <v>0.04</v>
      </c>
      <c r="M116">
        <v>22.9</v>
      </c>
      <c r="N116">
        <v>3.9</v>
      </c>
      <c r="R116">
        <v>13</v>
      </c>
      <c r="S116">
        <v>29.9</v>
      </c>
      <c r="T116">
        <v>9.3000000000000007</v>
      </c>
      <c r="U116">
        <v>1.5</v>
      </c>
      <c r="V116">
        <v>0.12</v>
      </c>
    </row>
    <row r="117" spans="1:25" x14ac:dyDescent="0.3">
      <c r="A117">
        <v>5.4333333330000002</v>
      </c>
      <c r="B117">
        <v>2016</v>
      </c>
      <c r="C117">
        <v>5</v>
      </c>
      <c r="D117">
        <v>13</v>
      </c>
      <c r="E117" t="s">
        <v>43</v>
      </c>
      <c r="F117">
        <v>12</v>
      </c>
      <c r="G117">
        <v>3.9E-2</v>
      </c>
      <c r="H117">
        <v>8.9999999999999993E-3</v>
      </c>
      <c r="I117">
        <v>10.1</v>
      </c>
      <c r="J117">
        <v>3.6</v>
      </c>
      <c r="K117">
        <v>0.64</v>
      </c>
      <c r="L117">
        <v>0.1</v>
      </c>
      <c r="M117">
        <v>9.9</v>
      </c>
      <c r="N117">
        <v>1.6</v>
      </c>
      <c r="R117">
        <v>21</v>
      </c>
      <c r="S117">
        <v>33.5</v>
      </c>
      <c r="T117">
        <v>10.6</v>
      </c>
      <c r="U117">
        <v>1.35</v>
      </c>
      <c r="V117">
        <v>0.08</v>
      </c>
      <c r="X117">
        <v>12.9</v>
      </c>
      <c r="Y117">
        <v>3.4</v>
      </c>
    </row>
    <row r="118" spans="1:25" x14ac:dyDescent="0.3">
      <c r="A118">
        <v>5.8</v>
      </c>
      <c r="B118">
        <v>2017</v>
      </c>
      <c r="C118">
        <v>5</v>
      </c>
      <c r="D118">
        <v>24</v>
      </c>
      <c r="E118" t="s">
        <v>43</v>
      </c>
      <c r="F118">
        <v>6</v>
      </c>
      <c r="S118">
        <v>59.1</v>
      </c>
      <c r="T118">
        <v>16.399999999999999</v>
      </c>
      <c r="U118">
        <v>0.45</v>
      </c>
      <c r="V118">
        <v>0.05</v>
      </c>
    </row>
    <row r="119" spans="1:25" x14ac:dyDescent="0.3">
      <c r="A119">
        <v>5.6333333330000004</v>
      </c>
      <c r="B119">
        <v>2016</v>
      </c>
      <c r="C119">
        <v>5</v>
      </c>
      <c r="D119">
        <v>19</v>
      </c>
      <c r="E119" t="s">
        <v>43</v>
      </c>
      <c r="F119">
        <v>9</v>
      </c>
      <c r="S119">
        <v>33.799999999999997</v>
      </c>
      <c r="T119">
        <v>3.3</v>
      </c>
      <c r="U119">
        <v>0.59</v>
      </c>
      <c r="V119">
        <v>0.03</v>
      </c>
    </row>
    <row r="120" spans="1:25" x14ac:dyDescent="0.3">
      <c r="A120">
        <v>6.3666666669999996</v>
      </c>
      <c r="B120">
        <v>2017</v>
      </c>
      <c r="C120">
        <v>6</v>
      </c>
      <c r="D120">
        <v>11</v>
      </c>
      <c r="E120" t="s">
        <v>45</v>
      </c>
      <c r="F120">
        <v>7</v>
      </c>
      <c r="G120">
        <v>0.30599999999999999</v>
      </c>
      <c r="H120">
        <v>8.7999999999999995E-2</v>
      </c>
      <c r="I120">
        <v>10.9</v>
      </c>
      <c r="J120">
        <v>2.25</v>
      </c>
      <c r="K120">
        <v>2.23</v>
      </c>
      <c r="L120">
        <v>0.4</v>
      </c>
      <c r="M120">
        <v>27.1</v>
      </c>
      <c r="N120">
        <v>3.1</v>
      </c>
      <c r="O120">
        <v>231</v>
      </c>
      <c r="P120">
        <v>280</v>
      </c>
      <c r="Q120">
        <v>300</v>
      </c>
      <c r="R120">
        <v>12</v>
      </c>
      <c r="S120">
        <v>37.200000000000003</v>
      </c>
      <c r="T120">
        <v>5</v>
      </c>
      <c r="U120">
        <v>0.71</v>
      </c>
      <c r="V120">
        <v>0.04</v>
      </c>
      <c r="W120">
        <v>9</v>
      </c>
    </row>
    <row r="121" spans="1:25" x14ac:dyDescent="0.3">
      <c r="A121">
        <v>6.3333333329999997</v>
      </c>
      <c r="B121">
        <v>2017</v>
      </c>
      <c r="C121">
        <v>6</v>
      </c>
      <c r="D121">
        <v>10</v>
      </c>
      <c r="E121" t="s">
        <v>45</v>
      </c>
      <c r="G121">
        <v>0.26700000000000002</v>
      </c>
      <c r="H121">
        <v>0.13600000000000001</v>
      </c>
      <c r="I121">
        <v>4.6100000000000003</v>
      </c>
      <c r="J121">
        <v>1.1299999999999999</v>
      </c>
      <c r="K121">
        <v>1.97</v>
      </c>
      <c r="L121">
        <v>0.19</v>
      </c>
      <c r="M121">
        <v>31.3</v>
      </c>
      <c r="N121">
        <v>11.9</v>
      </c>
      <c r="O121">
        <v>263</v>
      </c>
      <c r="P121">
        <v>297</v>
      </c>
      <c r="Q121">
        <v>311</v>
      </c>
      <c r="R121">
        <v>12</v>
      </c>
      <c r="S121">
        <v>70.2</v>
      </c>
      <c r="T121">
        <v>10.7</v>
      </c>
      <c r="U121">
        <v>0.35</v>
      </c>
      <c r="V121">
        <v>0.03</v>
      </c>
      <c r="W121">
        <v>2.1</v>
      </c>
    </row>
    <row r="122" spans="1:25" x14ac:dyDescent="0.3">
      <c r="A122">
        <v>6.3666666669999996</v>
      </c>
      <c r="B122">
        <v>2017</v>
      </c>
      <c r="C122">
        <v>6</v>
      </c>
      <c r="D122">
        <v>11</v>
      </c>
      <c r="E122" t="s">
        <v>45</v>
      </c>
      <c r="F122">
        <v>8</v>
      </c>
      <c r="G122">
        <v>0.19400000000000001</v>
      </c>
      <c r="H122">
        <v>6.8000000000000005E-2</v>
      </c>
      <c r="I122">
        <v>6.57</v>
      </c>
      <c r="J122">
        <v>1.02</v>
      </c>
      <c r="K122">
        <v>1.66</v>
      </c>
      <c r="L122">
        <v>0.18</v>
      </c>
      <c r="M122">
        <v>27.4</v>
      </c>
      <c r="N122">
        <v>7.2</v>
      </c>
      <c r="S122">
        <v>44.7</v>
      </c>
      <c r="T122">
        <v>5.9</v>
      </c>
      <c r="U122">
        <v>0.57999999999999996</v>
      </c>
      <c r="V122">
        <v>0.03</v>
      </c>
    </row>
    <row r="123" spans="1:25" x14ac:dyDescent="0.3">
      <c r="A123">
        <v>6.3666666669999996</v>
      </c>
      <c r="B123">
        <v>2017</v>
      </c>
      <c r="C123">
        <v>6</v>
      </c>
      <c r="D123">
        <v>11</v>
      </c>
      <c r="E123" t="s">
        <v>45</v>
      </c>
      <c r="G123">
        <v>0.157</v>
      </c>
      <c r="H123">
        <v>8.4000000000000005E-2</v>
      </c>
      <c r="I123">
        <v>5.86</v>
      </c>
      <c r="J123">
        <v>1.94</v>
      </c>
      <c r="K123">
        <v>1.79</v>
      </c>
      <c r="L123">
        <v>0.41</v>
      </c>
      <c r="M123">
        <v>20.3</v>
      </c>
      <c r="N123">
        <v>5.4</v>
      </c>
      <c r="S123">
        <v>53.4</v>
      </c>
      <c r="T123">
        <v>7.1</v>
      </c>
      <c r="U123">
        <v>0.43</v>
      </c>
      <c r="V123">
        <v>0.02</v>
      </c>
    </row>
    <row r="124" spans="1:25" x14ac:dyDescent="0.3">
      <c r="A124">
        <v>6.3333333329999997</v>
      </c>
      <c r="B124">
        <v>2017</v>
      </c>
      <c r="C124">
        <v>6</v>
      </c>
      <c r="D124">
        <v>10</v>
      </c>
      <c r="E124" t="s">
        <v>45</v>
      </c>
      <c r="F124">
        <v>7</v>
      </c>
      <c r="G124">
        <v>0.14899999999999999</v>
      </c>
      <c r="H124">
        <v>4.5999999999999999E-2</v>
      </c>
      <c r="I124">
        <v>4.92</v>
      </c>
      <c r="J124">
        <v>1.46</v>
      </c>
      <c r="K124">
        <v>1</v>
      </c>
      <c r="L124">
        <v>0.09</v>
      </c>
      <c r="M124">
        <v>28.4</v>
      </c>
      <c r="N124">
        <v>5.2</v>
      </c>
      <c r="O124">
        <v>223</v>
      </c>
      <c r="P124">
        <v>293</v>
      </c>
      <c r="Q124">
        <v>311</v>
      </c>
      <c r="R124">
        <v>10</v>
      </c>
      <c r="S124">
        <v>54.2</v>
      </c>
      <c r="T124">
        <v>8.9</v>
      </c>
      <c r="U124">
        <v>0.45</v>
      </c>
      <c r="V124">
        <v>0.03</v>
      </c>
      <c r="W124">
        <v>2.5</v>
      </c>
    </row>
    <row r="125" spans="1:25" x14ac:dyDescent="0.3">
      <c r="A125">
        <v>6.3666666669999996</v>
      </c>
      <c r="B125">
        <v>2017</v>
      </c>
      <c r="C125">
        <v>6</v>
      </c>
      <c r="D125">
        <v>11</v>
      </c>
      <c r="E125" t="s">
        <v>45</v>
      </c>
      <c r="F125">
        <v>3</v>
      </c>
      <c r="G125">
        <v>0.12</v>
      </c>
      <c r="H125">
        <v>4.3999999999999997E-2</v>
      </c>
      <c r="I125">
        <v>9.67</v>
      </c>
      <c r="J125">
        <v>2.78</v>
      </c>
      <c r="K125">
        <v>1.6</v>
      </c>
      <c r="L125">
        <v>0.15</v>
      </c>
      <c r="M125">
        <v>15</v>
      </c>
      <c r="N125">
        <v>4.0999999999999996</v>
      </c>
      <c r="S125">
        <v>47.5</v>
      </c>
      <c r="T125">
        <v>7.1</v>
      </c>
      <c r="U125">
        <v>0.54</v>
      </c>
      <c r="V125">
        <v>0.03</v>
      </c>
    </row>
    <row r="126" spans="1:25" x14ac:dyDescent="0.3">
      <c r="A126">
        <v>6.3333333329999997</v>
      </c>
      <c r="B126">
        <v>2017</v>
      </c>
      <c r="C126">
        <v>6</v>
      </c>
      <c r="D126">
        <v>10</v>
      </c>
      <c r="E126" t="s">
        <v>45</v>
      </c>
      <c r="F126">
        <v>6</v>
      </c>
      <c r="G126">
        <v>0.10299999999999999</v>
      </c>
      <c r="H126">
        <v>2.4E-2</v>
      </c>
      <c r="I126">
        <v>5.42</v>
      </c>
      <c r="J126">
        <v>0.85</v>
      </c>
      <c r="K126">
        <v>1.2</v>
      </c>
      <c r="L126">
        <v>0.17</v>
      </c>
      <c r="M126">
        <v>23.4</v>
      </c>
      <c r="N126">
        <v>4.7</v>
      </c>
      <c r="R126">
        <v>7</v>
      </c>
      <c r="S126">
        <v>39.299999999999997</v>
      </c>
      <c r="T126">
        <v>11.7</v>
      </c>
      <c r="U126">
        <v>0.69</v>
      </c>
      <c r="V126">
        <v>0.09</v>
      </c>
    </row>
    <row r="127" spans="1:25" x14ac:dyDescent="0.3">
      <c r="A127">
        <v>6.3666666669999996</v>
      </c>
      <c r="B127">
        <v>2017</v>
      </c>
      <c r="C127">
        <v>6</v>
      </c>
      <c r="D127">
        <v>11</v>
      </c>
      <c r="E127" t="s">
        <v>45</v>
      </c>
      <c r="G127">
        <v>7.3999999999999996E-2</v>
      </c>
      <c r="H127">
        <v>0.04</v>
      </c>
      <c r="I127">
        <v>4.29</v>
      </c>
      <c r="J127">
        <v>0.66</v>
      </c>
      <c r="K127">
        <v>0.74</v>
      </c>
      <c r="L127">
        <v>0.15</v>
      </c>
      <c r="M127">
        <v>20.3</v>
      </c>
      <c r="N127">
        <v>6.8</v>
      </c>
      <c r="R127">
        <v>9</v>
      </c>
      <c r="S127">
        <v>60.8</v>
      </c>
      <c r="T127">
        <v>7.8</v>
      </c>
      <c r="U127">
        <v>0.96</v>
      </c>
      <c r="V127">
        <v>0.04</v>
      </c>
    </row>
    <row r="128" spans="1:25" x14ac:dyDescent="0.3">
      <c r="A128">
        <v>6.3333333329999997</v>
      </c>
      <c r="B128">
        <v>2017</v>
      </c>
      <c r="C128">
        <v>6</v>
      </c>
      <c r="D128">
        <v>10</v>
      </c>
      <c r="E128" t="s">
        <v>45</v>
      </c>
      <c r="G128">
        <v>0.06</v>
      </c>
      <c r="H128">
        <v>1.4E-2</v>
      </c>
      <c r="I128">
        <v>2.9</v>
      </c>
      <c r="J128">
        <v>0.78</v>
      </c>
      <c r="K128">
        <v>0.82</v>
      </c>
      <c r="L128">
        <v>0.14000000000000001</v>
      </c>
      <c r="M128">
        <v>19.100000000000001</v>
      </c>
      <c r="N128">
        <v>2.8</v>
      </c>
      <c r="R128">
        <v>13</v>
      </c>
      <c r="S128">
        <v>30.9</v>
      </c>
      <c r="T128">
        <v>5.0999999999999996</v>
      </c>
      <c r="U128">
        <v>0.8</v>
      </c>
      <c r="V128">
        <v>0.04</v>
      </c>
    </row>
    <row r="129" spans="1:25" x14ac:dyDescent="0.3">
      <c r="A129">
        <v>6.3666666669999996</v>
      </c>
      <c r="B129">
        <v>2017</v>
      </c>
      <c r="C129">
        <v>6</v>
      </c>
      <c r="D129">
        <v>11</v>
      </c>
      <c r="E129" t="s">
        <v>45</v>
      </c>
      <c r="F129">
        <v>5</v>
      </c>
      <c r="S129">
        <v>35.799999999999997</v>
      </c>
      <c r="T129">
        <v>5.4</v>
      </c>
      <c r="U129">
        <v>0.59</v>
      </c>
      <c r="V129">
        <v>0.03</v>
      </c>
    </row>
    <row r="130" spans="1:25" x14ac:dyDescent="0.3">
      <c r="A130">
        <v>6.3333333329999997</v>
      </c>
      <c r="B130">
        <v>2017</v>
      </c>
      <c r="C130">
        <v>6</v>
      </c>
      <c r="D130">
        <v>10</v>
      </c>
      <c r="E130" t="s">
        <v>45</v>
      </c>
      <c r="F130">
        <v>7</v>
      </c>
      <c r="R130">
        <v>8</v>
      </c>
      <c r="S130">
        <v>39.799999999999997</v>
      </c>
      <c r="T130">
        <v>13.4</v>
      </c>
      <c r="U130">
        <v>0.71</v>
      </c>
      <c r="V130">
        <v>0.11</v>
      </c>
    </row>
    <row r="131" spans="1:25" x14ac:dyDescent="0.3">
      <c r="A131">
        <v>6.9</v>
      </c>
      <c r="B131">
        <v>2017</v>
      </c>
      <c r="C131">
        <v>6</v>
      </c>
      <c r="D131">
        <v>27</v>
      </c>
      <c r="E131" t="s">
        <v>43</v>
      </c>
      <c r="F131">
        <v>8</v>
      </c>
      <c r="G131">
        <v>0.16700000000000001</v>
      </c>
      <c r="H131">
        <v>4.2000000000000003E-2</v>
      </c>
      <c r="I131">
        <v>11</v>
      </c>
      <c r="J131">
        <v>3.02</v>
      </c>
      <c r="K131">
        <v>1.7</v>
      </c>
      <c r="L131">
        <v>0.17</v>
      </c>
      <c r="M131">
        <v>18</v>
      </c>
      <c r="N131">
        <v>2.9</v>
      </c>
      <c r="S131">
        <v>42.5</v>
      </c>
      <c r="T131">
        <v>4.4000000000000004</v>
      </c>
      <c r="U131">
        <v>0.56999999999999995</v>
      </c>
      <c r="V131">
        <v>0.02</v>
      </c>
    </row>
    <row r="132" spans="1:25" x14ac:dyDescent="0.3">
      <c r="A132">
        <v>6.5</v>
      </c>
      <c r="B132">
        <v>2015</v>
      </c>
      <c r="C132">
        <v>6</v>
      </c>
      <c r="D132">
        <v>15</v>
      </c>
      <c r="E132" t="s">
        <v>43</v>
      </c>
      <c r="G132">
        <v>0.13900000000000001</v>
      </c>
      <c r="H132">
        <v>6.3E-2</v>
      </c>
      <c r="I132">
        <v>6.48</v>
      </c>
      <c r="J132">
        <v>3.6</v>
      </c>
      <c r="K132">
        <v>1.01</v>
      </c>
      <c r="L132">
        <v>0.41</v>
      </c>
      <c r="M132">
        <v>26.7</v>
      </c>
      <c r="N132">
        <v>6.1</v>
      </c>
      <c r="R132">
        <v>27</v>
      </c>
      <c r="S132">
        <v>41.5</v>
      </c>
      <c r="T132">
        <v>9.1999999999999993</v>
      </c>
      <c r="U132">
        <v>1.28</v>
      </c>
      <c r="V132">
        <v>0.09</v>
      </c>
    </row>
    <row r="133" spans="1:25" x14ac:dyDescent="0.3">
      <c r="A133">
        <v>6.9</v>
      </c>
      <c r="B133">
        <v>2017</v>
      </c>
      <c r="C133">
        <v>6</v>
      </c>
      <c r="D133">
        <v>27</v>
      </c>
      <c r="E133" t="s">
        <v>43</v>
      </c>
      <c r="F133">
        <v>3</v>
      </c>
      <c r="G133">
        <v>0.11799999999999999</v>
      </c>
      <c r="H133">
        <v>3.2000000000000001E-2</v>
      </c>
      <c r="I133">
        <v>6.53</v>
      </c>
      <c r="J133">
        <v>1.26</v>
      </c>
      <c r="K133">
        <v>1.1599999999999999</v>
      </c>
      <c r="L133">
        <v>0.14000000000000001</v>
      </c>
      <c r="M133">
        <v>18.899999999999999</v>
      </c>
      <c r="N133">
        <v>3.8</v>
      </c>
      <c r="S133">
        <v>43.7</v>
      </c>
      <c r="T133">
        <v>6.8</v>
      </c>
      <c r="U133">
        <v>0.54</v>
      </c>
      <c r="V133">
        <v>0.02</v>
      </c>
    </row>
    <row r="134" spans="1:25" x14ac:dyDescent="0.3">
      <c r="A134">
        <v>6.5</v>
      </c>
      <c r="B134">
        <v>2015</v>
      </c>
      <c r="C134">
        <v>6</v>
      </c>
      <c r="D134">
        <v>15</v>
      </c>
      <c r="E134" t="s">
        <v>43</v>
      </c>
      <c r="F134">
        <v>8</v>
      </c>
      <c r="G134">
        <v>0.11600000000000001</v>
      </c>
      <c r="H134">
        <v>4.1000000000000002E-2</v>
      </c>
      <c r="I134">
        <v>8.7899999999999991</v>
      </c>
      <c r="J134">
        <v>3.9</v>
      </c>
      <c r="K134">
        <v>0.96</v>
      </c>
      <c r="L134">
        <v>0.23</v>
      </c>
      <c r="M134">
        <v>19.7</v>
      </c>
      <c r="N134">
        <v>3.5</v>
      </c>
      <c r="R134">
        <v>15</v>
      </c>
      <c r="S134">
        <v>65</v>
      </c>
      <c r="T134">
        <v>10.3</v>
      </c>
      <c r="U134">
        <v>1.19</v>
      </c>
      <c r="V134">
        <v>0.08</v>
      </c>
    </row>
    <row r="135" spans="1:25" x14ac:dyDescent="0.3">
      <c r="A135">
        <v>6.5</v>
      </c>
      <c r="B135">
        <v>2015</v>
      </c>
      <c r="C135">
        <v>6</v>
      </c>
      <c r="D135">
        <v>15</v>
      </c>
      <c r="E135" t="s">
        <v>43</v>
      </c>
      <c r="F135">
        <v>7</v>
      </c>
      <c r="G135">
        <v>0.112</v>
      </c>
      <c r="H135">
        <v>1.9E-2</v>
      </c>
      <c r="I135">
        <v>14.9</v>
      </c>
      <c r="J135">
        <v>6.2</v>
      </c>
      <c r="K135">
        <v>1.18</v>
      </c>
      <c r="L135">
        <v>0.17</v>
      </c>
      <c r="M135">
        <v>14.2</v>
      </c>
      <c r="N135">
        <v>4.0999999999999996</v>
      </c>
      <c r="O135">
        <v>242</v>
      </c>
      <c r="P135">
        <v>282</v>
      </c>
      <c r="Q135">
        <v>297</v>
      </c>
      <c r="R135">
        <v>31</v>
      </c>
      <c r="S135">
        <v>53.5</v>
      </c>
      <c r="T135">
        <v>12.6</v>
      </c>
      <c r="U135">
        <v>1.33</v>
      </c>
      <c r="V135">
        <v>0.22</v>
      </c>
      <c r="W135">
        <v>4.4000000000000004</v>
      </c>
    </row>
    <row r="136" spans="1:25" x14ac:dyDescent="0.3">
      <c r="A136">
        <v>6.6666666670000003</v>
      </c>
      <c r="B136">
        <v>2016</v>
      </c>
      <c r="C136">
        <v>6</v>
      </c>
      <c r="D136">
        <v>20</v>
      </c>
      <c r="E136" t="s">
        <v>43</v>
      </c>
      <c r="F136">
        <v>15</v>
      </c>
      <c r="G136">
        <v>0.112</v>
      </c>
      <c r="H136">
        <v>3.7999999999999999E-2</v>
      </c>
      <c r="I136">
        <v>7.06</v>
      </c>
      <c r="J136">
        <v>1.08</v>
      </c>
      <c r="K136">
        <v>0.89</v>
      </c>
      <c r="L136">
        <v>0.13</v>
      </c>
      <c r="M136">
        <v>24.3</v>
      </c>
      <c r="N136">
        <v>5.2</v>
      </c>
      <c r="O136">
        <v>217</v>
      </c>
      <c r="P136">
        <v>278</v>
      </c>
      <c r="Q136">
        <v>298</v>
      </c>
      <c r="R136">
        <v>30</v>
      </c>
      <c r="S136">
        <v>39.9</v>
      </c>
      <c r="T136">
        <v>9.8000000000000007</v>
      </c>
      <c r="U136">
        <v>2.87</v>
      </c>
      <c r="V136">
        <v>0.34</v>
      </c>
      <c r="W136">
        <v>3</v>
      </c>
      <c r="X136">
        <v>36.700000000000003</v>
      </c>
      <c r="Y136">
        <v>7.2</v>
      </c>
    </row>
    <row r="137" spans="1:25" x14ac:dyDescent="0.3">
      <c r="A137">
        <v>6.6666666670000003</v>
      </c>
      <c r="B137">
        <v>2016</v>
      </c>
      <c r="C137">
        <v>6</v>
      </c>
      <c r="D137">
        <v>20</v>
      </c>
      <c r="E137" t="s">
        <v>43</v>
      </c>
      <c r="F137">
        <v>7</v>
      </c>
      <c r="G137">
        <v>0.10299999999999999</v>
      </c>
      <c r="H137">
        <v>0.03</v>
      </c>
      <c r="I137">
        <v>8.02</v>
      </c>
      <c r="J137">
        <v>2.02</v>
      </c>
      <c r="K137">
        <v>0.94</v>
      </c>
      <c r="L137">
        <v>0.11</v>
      </c>
      <c r="M137">
        <v>21.9</v>
      </c>
      <c r="N137">
        <v>2.1</v>
      </c>
      <c r="R137">
        <v>27</v>
      </c>
      <c r="S137">
        <v>36.299999999999997</v>
      </c>
      <c r="T137">
        <v>4.2</v>
      </c>
      <c r="U137">
        <v>1.96</v>
      </c>
      <c r="V137">
        <v>0.12</v>
      </c>
      <c r="X137">
        <v>35.5</v>
      </c>
      <c r="Y137">
        <v>6.9</v>
      </c>
    </row>
    <row r="138" spans="1:25" x14ac:dyDescent="0.3">
      <c r="A138">
        <v>6.733333333</v>
      </c>
      <c r="B138">
        <v>2016</v>
      </c>
      <c r="C138">
        <v>6</v>
      </c>
      <c r="D138">
        <v>22</v>
      </c>
      <c r="E138" t="s">
        <v>43</v>
      </c>
      <c r="F138">
        <v>9</v>
      </c>
      <c r="G138">
        <v>0.10199999999999999</v>
      </c>
      <c r="H138">
        <v>1.7000000000000001E-2</v>
      </c>
      <c r="I138">
        <v>13</v>
      </c>
      <c r="J138">
        <v>3.8</v>
      </c>
      <c r="K138">
        <v>1.31</v>
      </c>
      <c r="L138">
        <v>0.2</v>
      </c>
      <c r="M138">
        <v>14.2</v>
      </c>
      <c r="N138">
        <v>1.9</v>
      </c>
      <c r="S138">
        <v>51.6</v>
      </c>
      <c r="T138">
        <v>8.9</v>
      </c>
      <c r="U138">
        <v>0.87</v>
      </c>
      <c r="V138">
        <v>0.06</v>
      </c>
    </row>
    <row r="139" spans="1:25" x14ac:dyDescent="0.3">
      <c r="A139">
        <v>6.6666666670000003</v>
      </c>
      <c r="B139">
        <v>2016</v>
      </c>
      <c r="C139">
        <v>6</v>
      </c>
      <c r="D139">
        <v>20</v>
      </c>
      <c r="E139" t="s">
        <v>43</v>
      </c>
      <c r="F139">
        <v>10</v>
      </c>
      <c r="G139">
        <v>9.6000000000000002E-2</v>
      </c>
      <c r="H139">
        <v>3.2000000000000001E-2</v>
      </c>
      <c r="I139">
        <v>7.2</v>
      </c>
      <c r="J139">
        <v>0.3</v>
      </c>
      <c r="K139">
        <v>1.01</v>
      </c>
      <c r="L139">
        <v>0.13</v>
      </c>
      <c r="M139">
        <v>19.7</v>
      </c>
      <c r="N139">
        <v>2.8</v>
      </c>
      <c r="R139">
        <v>4</v>
      </c>
      <c r="S139">
        <v>32.6</v>
      </c>
      <c r="T139">
        <v>1.2</v>
      </c>
      <c r="U139">
        <v>4.46</v>
      </c>
      <c r="V139">
        <v>0.08</v>
      </c>
    </row>
    <row r="140" spans="1:25" x14ac:dyDescent="0.3">
      <c r="A140">
        <v>6.7</v>
      </c>
      <c r="B140">
        <v>2016</v>
      </c>
      <c r="C140">
        <v>6</v>
      </c>
      <c r="D140">
        <v>21</v>
      </c>
      <c r="E140" t="s">
        <v>43</v>
      </c>
      <c r="F140">
        <v>5</v>
      </c>
      <c r="G140">
        <v>8.3000000000000004E-2</v>
      </c>
      <c r="H140">
        <v>1.7000000000000001E-2</v>
      </c>
      <c r="I140">
        <v>6.31</v>
      </c>
      <c r="J140">
        <v>0.54</v>
      </c>
      <c r="K140">
        <v>0.8</v>
      </c>
      <c r="L140">
        <v>0.02</v>
      </c>
      <c r="M140">
        <v>18.600000000000001</v>
      </c>
      <c r="N140">
        <v>3.7</v>
      </c>
      <c r="R140">
        <v>20</v>
      </c>
      <c r="S140">
        <v>51.7</v>
      </c>
      <c r="T140">
        <v>11</v>
      </c>
      <c r="U140">
        <v>1.1599999999999999</v>
      </c>
      <c r="V140">
        <v>0.11</v>
      </c>
    </row>
    <row r="141" spans="1:25" x14ac:dyDescent="0.3">
      <c r="A141">
        <v>6.7</v>
      </c>
      <c r="B141">
        <v>2016</v>
      </c>
      <c r="C141">
        <v>6</v>
      </c>
      <c r="D141">
        <v>21</v>
      </c>
      <c r="E141" t="s">
        <v>43</v>
      </c>
      <c r="F141">
        <v>3</v>
      </c>
      <c r="G141">
        <v>5.8000000000000003E-2</v>
      </c>
      <c r="H141">
        <v>1.4999999999999999E-2</v>
      </c>
      <c r="I141">
        <v>5.74</v>
      </c>
      <c r="J141">
        <v>2.12</v>
      </c>
      <c r="K141">
        <v>0.62</v>
      </c>
      <c r="L141">
        <v>0.09</v>
      </c>
      <c r="M141">
        <v>15.2</v>
      </c>
      <c r="N141">
        <v>1.4</v>
      </c>
      <c r="R141">
        <v>5</v>
      </c>
      <c r="S141">
        <v>30.1</v>
      </c>
      <c r="T141">
        <v>18.7</v>
      </c>
      <c r="U141">
        <v>1.26</v>
      </c>
      <c r="V141">
        <v>0.32</v>
      </c>
    </row>
    <row r="142" spans="1:25" x14ac:dyDescent="0.3">
      <c r="A142">
        <v>6.733333333</v>
      </c>
      <c r="B142">
        <v>2016</v>
      </c>
      <c r="C142">
        <v>6</v>
      </c>
      <c r="D142">
        <v>22</v>
      </c>
      <c r="E142" t="s">
        <v>43</v>
      </c>
      <c r="F142">
        <v>8</v>
      </c>
      <c r="G142">
        <v>0.05</v>
      </c>
      <c r="H142">
        <v>1.7000000000000001E-2</v>
      </c>
      <c r="I142">
        <v>5.29</v>
      </c>
      <c r="J142">
        <v>2.08</v>
      </c>
      <c r="K142">
        <v>0.64</v>
      </c>
      <c r="L142">
        <v>0.16</v>
      </c>
      <c r="M142">
        <v>16.3</v>
      </c>
      <c r="N142">
        <v>0.9</v>
      </c>
      <c r="S142">
        <v>37.9</v>
      </c>
      <c r="T142">
        <v>6.5</v>
      </c>
      <c r="U142">
        <v>1.17</v>
      </c>
      <c r="V142">
        <v>0.05</v>
      </c>
    </row>
    <row r="143" spans="1:25" x14ac:dyDescent="0.3">
      <c r="A143">
        <v>6.7</v>
      </c>
      <c r="B143">
        <v>2016</v>
      </c>
      <c r="C143">
        <v>6</v>
      </c>
      <c r="D143">
        <v>21</v>
      </c>
      <c r="E143" t="s">
        <v>43</v>
      </c>
      <c r="F143">
        <v>8</v>
      </c>
      <c r="G143">
        <v>0.05</v>
      </c>
      <c r="H143">
        <v>1.4E-2</v>
      </c>
      <c r="I143">
        <v>6.33</v>
      </c>
      <c r="J143">
        <v>0.26</v>
      </c>
      <c r="K143">
        <v>0.7</v>
      </c>
      <c r="L143">
        <v>0.08</v>
      </c>
      <c r="M143">
        <v>13.1</v>
      </c>
      <c r="N143">
        <v>1.5</v>
      </c>
      <c r="O143">
        <v>210</v>
      </c>
      <c r="P143">
        <v>273</v>
      </c>
      <c r="Q143">
        <v>291</v>
      </c>
      <c r="R143">
        <v>21</v>
      </c>
      <c r="S143">
        <v>34.299999999999997</v>
      </c>
      <c r="T143">
        <v>9.5</v>
      </c>
      <c r="U143">
        <v>2.09</v>
      </c>
      <c r="V143">
        <v>0.31</v>
      </c>
      <c r="W143">
        <v>2.4</v>
      </c>
      <c r="X143">
        <v>31.6</v>
      </c>
      <c r="Y143">
        <v>11.5</v>
      </c>
    </row>
    <row r="144" spans="1:25" x14ac:dyDescent="0.3">
      <c r="A144">
        <v>6.7</v>
      </c>
      <c r="B144">
        <v>2016</v>
      </c>
      <c r="C144">
        <v>6</v>
      </c>
      <c r="D144">
        <v>21</v>
      </c>
      <c r="E144" t="s">
        <v>43</v>
      </c>
      <c r="F144">
        <v>11</v>
      </c>
      <c r="G144">
        <v>3.3000000000000002E-2</v>
      </c>
      <c r="H144">
        <v>1.2E-2</v>
      </c>
      <c r="I144">
        <v>6.03</v>
      </c>
      <c r="J144">
        <v>0.93</v>
      </c>
      <c r="K144">
        <v>0.55000000000000004</v>
      </c>
      <c r="L144">
        <v>7.0000000000000007E-2</v>
      </c>
      <c r="M144">
        <v>11.4</v>
      </c>
      <c r="N144">
        <v>1.3</v>
      </c>
      <c r="O144">
        <v>210</v>
      </c>
      <c r="P144">
        <v>260</v>
      </c>
      <c r="Q144">
        <v>291</v>
      </c>
      <c r="R144">
        <v>16</v>
      </c>
      <c r="S144">
        <v>34.5</v>
      </c>
      <c r="T144">
        <v>12.2</v>
      </c>
      <c r="U144">
        <v>1.45</v>
      </c>
      <c r="V144">
        <v>0.24</v>
      </c>
      <c r="W144">
        <v>2.7</v>
      </c>
    </row>
    <row r="145" spans="1:25" x14ac:dyDescent="0.3">
      <c r="A145">
        <v>6.9</v>
      </c>
      <c r="B145">
        <v>2017</v>
      </c>
      <c r="C145">
        <v>6</v>
      </c>
      <c r="D145">
        <v>27</v>
      </c>
      <c r="E145" t="s">
        <v>43</v>
      </c>
      <c r="F145">
        <v>6</v>
      </c>
      <c r="S145">
        <v>31.5</v>
      </c>
      <c r="T145">
        <v>7.1</v>
      </c>
      <c r="U145">
        <v>0.56999999999999995</v>
      </c>
      <c r="V145">
        <v>0.03</v>
      </c>
    </row>
    <row r="146" spans="1:25" x14ac:dyDescent="0.3">
      <c r="A146">
        <v>7</v>
      </c>
      <c r="B146">
        <v>2016</v>
      </c>
      <c r="C146">
        <v>6</v>
      </c>
      <c r="D146">
        <v>30</v>
      </c>
      <c r="E146" t="s">
        <v>46</v>
      </c>
      <c r="G146">
        <v>0.31</v>
      </c>
      <c r="H146">
        <v>7.5999999999999998E-2</v>
      </c>
      <c r="I146">
        <v>19</v>
      </c>
      <c r="J146">
        <v>6.28</v>
      </c>
      <c r="K146">
        <v>2.52</v>
      </c>
      <c r="L146">
        <v>0.25</v>
      </c>
      <c r="M146">
        <v>23.6</v>
      </c>
      <c r="N146">
        <v>5</v>
      </c>
      <c r="R146">
        <v>6</v>
      </c>
      <c r="S146">
        <v>61.6</v>
      </c>
      <c r="T146">
        <v>10.5</v>
      </c>
      <c r="U146">
        <v>0.36</v>
      </c>
      <c r="V146">
        <v>0.03</v>
      </c>
    </row>
    <row r="147" spans="1:25" x14ac:dyDescent="0.3">
      <c r="A147">
        <v>7</v>
      </c>
      <c r="B147">
        <v>2016</v>
      </c>
      <c r="C147">
        <v>6</v>
      </c>
      <c r="D147">
        <v>30</v>
      </c>
      <c r="E147" t="s">
        <v>46</v>
      </c>
      <c r="F147">
        <v>9</v>
      </c>
      <c r="G147">
        <v>0.17100000000000001</v>
      </c>
      <c r="H147">
        <v>5.7000000000000002E-2</v>
      </c>
      <c r="I147">
        <v>11.9</v>
      </c>
      <c r="J147">
        <v>2.4</v>
      </c>
      <c r="K147">
        <v>1.19</v>
      </c>
      <c r="L147">
        <v>0.25</v>
      </c>
      <c r="M147">
        <v>26.3</v>
      </c>
      <c r="N147">
        <v>5.6</v>
      </c>
      <c r="R147">
        <v>12</v>
      </c>
      <c r="S147">
        <v>44.3</v>
      </c>
      <c r="T147">
        <v>4.2</v>
      </c>
      <c r="U147">
        <v>1.37</v>
      </c>
      <c r="V147">
        <v>0.05</v>
      </c>
    </row>
    <row r="148" spans="1:25" x14ac:dyDescent="0.3">
      <c r="A148">
        <v>7</v>
      </c>
      <c r="B148">
        <v>2016</v>
      </c>
      <c r="C148">
        <v>6</v>
      </c>
      <c r="D148">
        <v>30</v>
      </c>
      <c r="E148" t="s">
        <v>46</v>
      </c>
      <c r="G148">
        <v>0.153</v>
      </c>
      <c r="H148">
        <v>3.7999999999999999E-2</v>
      </c>
      <c r="I148">
        <v>9.5399999999999991</v>
      </c>
      <c r="J148">
        <v>1.9</v>
      </c>
      <c r="K148">
        <v>1.1000000000000001</v>
      </c>
      <c r="L148">
        <v>0.08</v>
      </c>
      <c r="M148">
        <v>24.5</v>
      </c>
      <c r="N148">
        <v>7.9</v>
      </c>
      <c r="R148">
        <v>13</v>
      </c>
      <c r="S148">
        <v>32.1</v>
      </c>
      <c r="T148">
        <v>7.9</v>
      </c>
      <c r="U148">
        <v>1.67</v>
      </c>
      <c r="V148">
        <v>0.06</v>
      </c>
    </row>
    <row r="149" spans="1:25" x14ac:dyDescent="0.3">
      <c r="A149">
        <v>7</v>
      </c>
      <c r="B149">
        <v>2016</v>
      </c>
      <c r="C149">
        <v>6</v>
      </c>
      <c r="D149">
        <v>30</v>
      </c>
      <c r="E149" t="s">
        <v>46</v>
      </c>
      <c r="G149">
        <v>0.14699999999999999</v>
      </c>
      <c r="H149">
        <v>4.8000000000000001E-2</v>
      </c>
      <c r="I149">
        <v>8.6199999999999992</v>
      </c>
      <c r="J149">
        <v>1.5</v>
      </c>
      <c r="K149">
        <v>1.03</v>
      </c>
      <c r="L149">
        <v>0.18</v>
      </c>
      <c r="M149">
        <v>26.9</v>
      </c>
      <c r="N149">
        <v>4.3</v>
      </c>
      <c r="O149">
        <v>239</v>
      </c>
      <c r="P149">
        <v>289</v>
      </c>
      <c r="Q149">
        <v>308</v>
      </c>
      <c r="R149">
        <v>24</v>
      </c>
      <c r="S149">
        <v>31.1</v>
      </c>
      <c r="T149">
        <v>4.8</v>
      </c>
      <c r="U149">
        <v>2.56</v>
      </c>
      <c r="V149">
        <v>0.24</v>
      </c>
      <c r="W149">
        <v>5.6</v>
      </c>
    </row>
    <row r="150" spans="1:25" x14ac:dyDescent="0.3">
      <c r="A150">
        <v>7</v>
      </c>
      <c r="B150">
        <v>2016</v>
      </c>
      <c r="C150">
        <v>6</v>
      </c>
      <c r="D150">
        <v>30</v>
      </c>
      <c r="E150" t="s">
        <v>46</v>
      </c>
      <c r="G150">
        <v>0.14099999999999999</v>
      </c>
      <c r="H150">
        <v>3.1E-2</v>
      </c>
      <c r="I150">
        <v>15.5</v>
      </c>
      <c r="J150">
        <v>3.5</v>
      </c>
      <c r="K150">
        <v>1.04</v>
      </c>
      <c r="L150">
        <v>0.1</v>
      </c>
      <c r="M150">
        <v>20.8</v>
      </c>
      <c r="N150">
        <v>5.3</v>
      </c>
      <c r="O150">
        <v>253</v>
      </c>
      <c r="P150">
        <v>282</v>
      </c>
      <c r="Q150">
        <v>296</v>
      </c>
      <c r="R150">
        <v>21</v>
      </c>
      <c r="S150">
        <v>43.2</v>
      </c>
      <c r="T150">
        <v>9.5</v>
      </c>
      <c r="U150">
        <v>0.95</v>
      </c>
      <c r="V150">
        <v>0.03</v>
      </c>
      <c r="W150">
        <v>4.9000000000000004</v>
      </c>
      <c r="X150">
        <v>43.9</v>
      </c>
      <c r="Y150">
        <v>7.3</v>
      </c>
    </row>
    <row r="151" spans="1:25" x14ac:dyDescent="0.3">
      <c r="A151">
        <v>7.3666666669999996</v>
      </c>
      <c r="B151">
        <v>2017</v>
      </c>
      <c r="C151">
        <v>7</v>
      </c>
      <c r="D151">
        <v>11</v>
      </c>
      <c r="E151" t="s">
        <v>43</v>
      </c>
      <c r="F151">
        <v>12</v>
      </c>
      <c r="G151">
        <v>0.28599999999999998</v>
      </c>
      <c r="H151">
        <v>0.11700000000000001</v>
      </c>
      <c r="I151">
        <v>9.92</v>
      </c>
      <c r="J151">
        <v>1.1499999999999999</v>
      </c>
      <c r="K151">
        <v>2.4500000000000002</v>
      </c>
      <c r="L151">
        <v>0.52</v>
      </c>
      <c r="M151">
        <v>27.2</v>
      </c>
      <c r="N151">
        <v>5.5</v>
      </c>
      <c r="O151">
        <v>212</v>
      </c>
      <c r="P151">
        <v>276</v>
      </c>
      <c r="Q151">
        <v>297</v>
      </c>
      <c r="R151">
        <v>8</v>
      </c>
      <c r="S151">
        <v>43.1</v>
      </c>
      <c r="T151">
        <v>3.7</v>
      </c>
      <c r="U151">
        <v>0.56000000000000005</v>
      </c>
      <c r="V151">
        <v>0.03</v>
      </c>
      <c r="W151">
        <v>7.1</v>
      </c>
    </row>
    <row r="152" spans="1:25" x14ac:dyDescent="0.3">
      <c r="A152">
        <v>7.4</v>
      </c>
      <c r="B152">
        <v>2017</v>
      </c>
      <c r="C152">
        <v>7</v>
      </c>
      <c r="D152">
        <v>12</v>
      </c>
      <c r="E152" t="s">
        <v>43</v>
      </c>
      <c r="F152">
        <v>11</v>
      </c>
      <c r="G152">
        <v>0.23300000000000001</v>
      </c>
      <c r="H152">
        <v>8.2000000000000003E-2</v>
      </c>
      <c r="I152">
        <v>20.3</v>
      </c>
      <c r="J152">
        <v>5</v>
      </c>
      <c r="K152">
        <v>3.33</v>
      </c>
      <c r="L152">
        <v>0.74</v>
      </c>
      <c r="M152">
        <v>12.7</v>
      </c>
      <c r="N152">
        <v>2</v>
      </c>
      <c r="S152">
        <v>43.2</v>
      </c>
      <c r="T152">
        <v>7.9</v>
      </c>
      <c r="U152">
        <v>0.48</v>
      </c>
      <c r="V152">
        <v>0.04</v>
      </c>
    </row>
    <row r="153" spans="1:25" x14ac:dyDescent="0.3">
      <c r="A153">
        <v>7.4333333330000002</v>
      </c>
      <c r="B153">
        <v>2016</v>
      </c>
      <c r="C153">
        <v>7</v>
      </c>
      <c r="D153">
        <v>13</v>
      </c>
      <c r="E153" t="s">
        <v>43</v>
      </c>
      <c r="F153">
        <v>6</v>
      </c>
      <c r="G153">
        <v>0.16200000000000001</v>
      </c>
      <c r="H153">
        <v>5.3999999999999999E-2</v>
      </c>
      <c r="I153">
        <v>4.25</v>
      </c>
      <c r="J153">
        <v>1.48</v>
      </c>
      <c r="K153">
        <v>1.08</v>
      </c>
      <c r="L153">
        <v>0.15</v>
      </c>
      <c r="M153">
        <v>32.700000000000003</v>
      </c>
      <c r="N153">
        <v>6.2</v>
      </c>
      <c r="S153">
        <v>35.1</v>
      </c>
      <c r="T153">
        <v>1.9</v>
      </c>
      <c r="U153">
        <v>1.85</v>
      </c>
      <c r="V153">
        <v>0.05</v>
      </c>
    </row>
    <row r="154" spans="1:25" x14ac:dyDescent="0.3">
      <c r="A154">
        <v>7.3666666669999996</v>
      </c>
      <c r="B154">
        <v>2017</v>
      </c>
      <c r="C154">
        <v>7</v>
      </c>
      <c r="D154">
        <v>11</v>
      </c>
      <c r="E154" t="s">
        <v>43</v>
      </c>
      <c r="F154">
        <v>5</v>
      </c>
      <c r="G154">
        <v>0.157</v>
      </c>
      <c r="H154">
        <v>3.4000000000000002E-2</v>
      </c>
      <c r="I154">
        <v>9.52</v>
      </c>
      <c r="J154">
        <v>1.63</v>
      </c>
      <c r="K154">
        <v>1.53</v>
      </c>
      <c r="L154">
        <v>7.0000000000000007E-2</v>
      </c>
      <c r="M154">
        <v>19.2</v>
      </c>
      <c r="N154">
        <v>4</v>
      </c>
      <c r="O154">
        <v>205</v>
      </c>
      <c r="P154">
        <v>275</v>
      </c>
      <c r="Q154">
        <v>295</v>
      </c>
      <c r="S154">
        <v>69.400000000000006</v>
      </c>
      <c r="T154">
        <v>11.4</v>
      </c>
      <c r="U154">
        <v>0.33</v>
      </c>
      <c r="V154">
        <v>0.03</v>
      </c>
      <c r="W154">
        <v>5.8</v>
      </c>
    </row>
    <row r="155" spans="1:25" x14ac:dyDescent="0.3">
      <c r="A155">
        <v>7.6666666670000003</v>
      </c>
      <c r="B155">
        <v>2018</v>
      </c>
      <c r="C155">
        <v>7</v>
      </c>
      <c r="D155">
        <v>20</v>
      </c>
      <c r="E155" t="s">
        <v>43</v>
      </c>
      <c r="G155">
        <v>0.152</v>
      </c>
      <c r="H155">
        <v>5.0999999999999997E-2</v>
      </c>
      <c r="I155">
        <v>9.1</v>
      </c>
      <c r="J155">
        <v>1.5</v>
      </c>
      <c r="K155">
        <v>1.28</v>
      </c>
      <c r="L155">
        <v>0.22</v>
      </c>
      <c r="M155">
        <v>21.9</v>
      </c>
      <c r="N155">
        <v>5.5</v>
      </c>
      <c r="O155">
        <v>268</v>
      </c>
      <c r="P155">
        <v>299</v>
      </c>
      <c r="Q155">
        <v>315</v>
      </c>
      <c r="R155">
        <v>8</v>
      </c>
      <c r="S155">
        <v>70</v>
      </c>
      <c r="T155">
        <v>6.7</v>
      </c>
      <c r="U155">
        <v>0.78</v>
      </c>
      <c r="V155">
        <v>0.03</v>
      </c>
      <c r="W155">
        <v>14.2</v>
      </c>
    </row>
    <row r="156" spans="1:25" x14ac:dyDescent="0.3">
      <c r="A156">
        <v>7.3666666669999996</v>
      </c>
      <c r="B156">
        <v>2017</v>
      </c>
      <c r="C156">
        <v>7</v>
      </c>
      <c r="D156">
        <v>11</v>
      </c>
      <c r="E156" t="s">
        <v>43</v>
      </c>
      <c r="F156">
        <v>5</v>
      </c>
      <c r="G156">
        <v>0.14399999999999999</v>
      </c>
      <c r="H156">
        <v>2.3E-2</v>
      </c>
      <c r="I156">
        <v>13.6</v>
      </c>
      <c r="J156">
        <v>2.5299999999999998</v>
      </c>
      <c r="K156">
        <v>2.06</v>
      </c>
      <c r="L156">
        <v>0.22</v>
      </c>
      <c r="M156">
        <v>15.8</v>
      </c>
      <c r="N156">
        <v>2.2999999999999998</v>
      </c>
      <c r="O156">
        <v>232</v>
      </c>
      <c r="P156">
        <v>287</v>
      </c>
      <c r="Q156">
        <v>305</v>
      </c>
      <c r="R156">
        <v>24</v>
      </c>
      <c r="S156">
        <v>46.7</v>
      </c>
      <c r="T156">
        <v>5.7</v>
      </c>
      <c r="U156">
        <v>0.44</v>
      </c>
      <c r="V156">
        <v>0.03</v>
      </c>
      <c r="W156">
        <v>6.3</v>
      </c>
    </row>
    <row r="157" spans="1:25" x14ac:dyDescent="0.3">
      <c r="A157">
        <v>7.4</v>
      </c>
      <c r="B157">
        <v>2017</v>
      </c>
      <c r="C157">
        <v>7</v>
      </c>
      <c r="D157">
        <v>12</v>
      </c>
      <c r="E157" t="s">
        <v>43</v>
      </c>
      <c r="F157">
        <v>9</v>
      </c>
      <c r="G157">
        <v>0.13500000000000001</v>
      </c>
      <c r="H157">
        <v>3.4000000000000002E-2</v>
      </c>
      <c r="I157">
        <v>13.7</v>
      </c>
      <c r="J157">
        <v>2.94</v>
      </c>
      <c r="K157">
        <v>2.34</v>
      </c>
      <c r="L157">
        <v>0.36</v>
      </c>
      <c r="M157">
        <v>13</v>
      </c>
      <c r="N157">
        <v>2.2999999999999998</v>
      </c>
      <c r="O157">
        <v>197</v>
      </c>
      <c r="P157">
        <v>267</v>
      </c>
      <c r="Q157">
        <v>295</v>
      </c>
      <c r="S157">
        <v>51.4</v>
      </c>
      <c r="T157">
        <v>6.3</v>
      </c>
      <c r="U157">
        <v>0.45</v>
      </c>
      <c r="V157">
        <v>0.03</v>
      </c>
      <c r="W157">
        <v>7.7</v>
      </c>
    </row>
    <row r="158" spans="1:25" x14ac:dyDescent="0.3">
      <c r="A158">
        <v>7.7</v>
      </c>
      <c r="B158">
        <v>2015</v>
      </c>
      <c r="C158">
        <v>7</v>
      </c>
      <c r="D158">
        <v>21</v>
      </c>
      <c r="E158" t="s">
        <v>43</v>
      </c>
      <c r="F158">
        <v>8</v>
      </c>
      <c r="G158">
        <v>0.13300000000000001</v>
      </c>
      <c r="H158">
        <v>2.5000000000000001E-2</v>
      </c>
      <c r="I158">
        <v>11.2</v>
      </c>
      <c r="J158">
        <v>5</v>
      </c>
      <c r="K158">
        <v>1.1200000000000001</v>
      </c>
      <c r="L158">
        <v>0.15</v>
      </c>
      <c r="M158">
        <v>19.3</v>
      </c>
      <c r="N158">
        <v>4.4000000000000004</v>
      </c>
      <c r="O158">
        <v>241</v>
      </c>
      <c r="P158">
        <v>285</v>
      </c>
      <c r="Q158">
        <v>302</v>
      </c>
      <c r="R158">
        <v>20</v>
      </c>
      <c r="S158">
        <v>37.5</v>
      </c>
      <c r="T158">
        <v>4.2</v>
      </c>
      <c r="U158">
        <v>4.54</v>
      </c>
      <c r="V158">
        <v>0.25</v>
      </c>
      <c r="W158">
        <v>7.2</v>
      </c>
    </row>
    <row r="159" spans="1:25" x14ac:dyDescent="0.3">
      <c r="A159">
        <v>7.3</v>
      </c>
      <c r="B159">
        <v>2015</v>
      </c>
      <c r="C159">
        <v>7</v>
      </c>
      <c r="D159">
        <v>9</v>
      </c>
      <c r="E159" t="s">
        <v>43</v>
      </c>
      <c r="G159">
        <v>0.126</v>
      </c>
      <c r="H159">
        <v>7.1999999999999995E-2</v>
      </c>
      <c r="I159">
        <v>4.3099999999999996</v>
      </c>
      <c r="J159">
        <v>1.1000000000000001</v>
      </c>
      <c r="K159">
        <v>0.71</v>
      </c>
      <c r="L159">
        <v>0.2</v>
      </c>
      <c r="M159">
        <v>28.2</v>
      </c>
      <c r="N159">
        <v>6.2</v>
      </c>
      <c r="R159">
        <v>24</v>
      </c>
      <c r="S159">
        <v>35.799999999999997</v>
      </c>
      <c r="T159">
        <v>10.199999999999999</v>
      </c>
      <c r="U159">
        <v>1.36</v>
      </c>
      <c r="V159">
        <v>7.0000000000000007E-2</v>
      </c>
    </row>
    <row r="160" spans="1:25" x14ac:dyDescent="0.3">
      <c r="A160">
        <v>7.4666666670000001</v>
      </c>
      <c r="B160">
        <v>2016</v>
      </c>
      <c r="C160">
        <v>7</v>
      </c>
      <c r="D160">
        <v>14</v>
      </c>
      <c r="E160" t="s">
        <v>43</v>
      </c>
      <c r="F160">
        <v>11</v>
      </c>
      <c r="G160">
        <v>0.126</v>
      </c>
      <c r="H160">
        <v>3.5000000000000003E-2</v>
      </c>
      <c r="I160">
        <v>3.21</v>
      </c>
      <c r="J160">
        <v>0.71</v>
      </c>
      <c r="K160">
        <v>0.77</v>
      </c>
      <c r="L160">
        <v>0.24</v>
      </c>
      <c r="M160">
        <v>35.4</v>
      </c>
      <c r="N160">
        <v>4.8</v>
      </c>
      <c r="O160">
        <v>215</v>
      </c>
      <c r="P160">
        <v>283</v>
      </c>
      <c r="Q160">
        <v>301</v>
      </c>
      <c r="R160">
        <v>21</v>
      </c>
      <c r="S160">
        <v>37</v>
      </c>
      <c r="T160">
        <v>7.3</v>
      </c>
      <c r="U160">
        <v>2.85</v>
      </c>
      <c r="V160">
        <v>0.25</v>
      </c>
      <c r="W160">
        <v>3.1</v>
      </c>
    </row>
    <row r="161" spans="1:25" x14ac:dyDescent="0.3">
      <c r="A161">
        <v>7.1666666670000003</v>
      </c>
      <c r="B161">
        <v>2017</v>
      </c>
      <c r="C161">
        <v>7</v>
      </c>
      <c r="D161">
        <v>5</v>
      </c>
      <c r="E161" t="s">
        <v>43</v>
      </c>
      <c r="F161">
        <v>5</v>
      </c>
      <c r="G161">
        <v>0.11700000000000001</v>
      </c>
      <c r="H161">
        <v>2.5000000000000001E-2</v>
      </c>
      <c r="I161">
        <v>9.5399999999999991</v>
      </c>
      <c r="J161">
        <v>2.81</v>
      </c>
      <c r="K161">
        <v>1.37</v>
      </c>
      <c r="L161">
        <v>0.18</v>
      </c>
      <c r="M161">
        <v>14.6</v>
      </c>
      <c r="N161">
        <v>1.8</v>
      </c>
      <c r="O161">
        <v>208</v>
      </c>
      <c r="P161">
        <v>276</v>
      </c>
      <c r="Q161">
        <v>296</v>
      </c>
      <c r="S161">
        <v>43.8</v>
      </c>
      <c r="T161">
        <v>5.0999999999999996</v>
      </c>
      <c r="U161">
        <v>0.56999999999999995</v>
      </c>
      <c r="V161">
        <v>0.03</v>
      </c>
      <c r="W161">
        <v>9</v>
      </c>
    </row>
    <row r="162" spans="1:25" x14ac:dyDescent="0.3">
      <c r="A162">
        <v>7.4</v>
      </c>
      <c r="B162">
        <v>2017</v>
      </c>
      <c r="C162">
        <v>7</v>
      </c>
      <c r="D162">
        <v>12</v>
      </c>
      <c r="E162" t="s">
        <v>43</v>
      </c>
      <c r="F162">
        <v>11</v>
      </c>
      <c r="G162">
        <v>0.11700000000000001</v>
      </c>
      <c r="H162">
        <v>2.5999999999999999E-2</v>
      </c>
      <c r="I162">
        <v>10.1</v>
      </c>
      <c r="J162">
        <v>0.52</v>
      </c>
      <c r="K162">
        <v>1.89</v>
      </c>
      <c r="L162">
        <v>0.24</v>
      </c>
      <c r="M162">
        <v>17.899999999999999</v>
      </c>
      <c r="N162">
        <v>1.4</v>
      </c>
      <c r="S162">
        <v>68.7</v>
      </c>
      <c r="T162">
        <v>10.4</v>
      </c>
      <c r="U162">
        <v>0.36</v>
      </c>
      <c r="V162">
        <v>0.02</v>
      </c>
    </row>
    <row r="163" spans="1:25" x14ac:dyDescent="0.3">
      <c r="A163">
        <v>7.7</v>
      </c>
      <c r="B163">
        <v>2015</v>
      </c>
      <c r="C163">
        <v>7</v>
      </c>
      <c r="D163">
        <v>21</v>
      </c>
      <c r="E163" t="s">
        <v>43</v>
      </c>
      <c r="F163">
        <v>6</v>
      </c>
      <c r="G163">
        <v>0.112</v>
      </c>
      <c r="H163">
        <v>0.04</v>
      </c>
      <c r="I163">
        <v>11.3</v>
      </c>
      <c r="J163">
        <v>0.8</v>
      </c>
      <c r="K163">
        <v>1.26</v>
      </c>
      <c r="L163">
        <v>0.31</v>
      </c>
      <c r="M163">
        <v>17.2</v>
      </c>
      <c r="N163">
        <v>4.3</v>
      </c>
      <c r="O163">
        <v>198</v>
      </c>
      <c r="P163">
        <v>252</v>
      </c>
      <c r="Q163">
        <v>286</v>
      </c>
      <c r="R163">
        <v>25</v>
      </c>
      <c r="S163">
        <v>37</v>
      </c>
      <c r="T163">
        <v>13</v>
      </c>
      <c r="U163">
        <v>1.94</v>
      </c>
      <c r="V163">
        <v>0.35</v>
      </c>
      <c r="W163">
        <v>1.4</v>
      </c>
    </row>
    <row r="164" spans="1:25" x14ac:dyDescent="0.3">
      <c r="A164">
        <v>7.9666666670000001</v>
      </c>
      <c r="B164">
        <v>2016</v>
      </c>
      <c r="C164">
        <v>7</v>
      </c>
      <c r="D164">
        <v>29</v>
      </c>
      <c r="E164" t="s">
        <v>43</v>
      </c>
      <c r="F164">
        <v>9</v>
      </c>
      <c r="G164">
        <v>0.109</v>
      </c>
      <c r="H164">
        <v>1.2E-2</v>
      </c>
      <c r="I164">
        <v>6.2</v>
      </c>
      <c r="J164">
        <v>0.45</v>
      </c>
      <c r="K164">
        <v>0.78</v>
      </c>
      <c r="L164">
        <v>0.18</v>
      </c>
      <c r="M164">
        <v>34.700000000000003</v>
      </c>
      <c r="N164">
        <v>3.8</v>
      </c>
      <c r="R164">
        <v>12</v>
      </c>
      <c r="S164">
        <v>34.6</v>
      </c>
      <c r="T164">
        <v>4.5999999999999996</v>
      </c>
      <c r="U164">
        <v>1.1000000000000001</v>
      </c>
      <c r="V164">
        <v>0.08</v>
      </c>
    </row>
    <row r="165" spans="1:25" x14ac:dyDescent="0.3">
      <c r="A165">
        <v>7.7</v>
      </c>
      <c r="B165">
        <v>2015</v>
      </c>
      <c r="C165">
        <v>7</v>
      </c>
      <c r="D165">
        <v>21</v>
      </c>
      <c r="E165" t="s">
        <v>43</v>
      </c>
      <c r="F165">
        <v>8</v>
      </c>
      <c r="G165">
        <v>0.104</v>
      </c>
      <c r="H165">
        <v>2.7E-2</v>
      </c>
      <c r="I165">
        <v>12.1</v>
      </c>
      <c r="J165">
        <v>2.8</v>
      </c>
      <c r="K165">
        <v>0.94</v>
      </c>
      <c r="L165">
        <v>0.09</v>
      </c>
      <c r="M165">
        <v>17.3</v>
      </c>
      <c r="N165">
        <v>4.5</v>
      </c>
      <c r="O165">
        <v>233</v>
      </c>
      <c r="P165">
        <v>277</v>
      </c>
      <c r="Q165">
        <v>295</v>
      </c>
      <c r="R165">
        <v>16</v>
      </c>
      <c r="S165">
        <v>31.9</v>
      </c>
      <c r="T165">
        <v>14.8</v>
      </c>
      <c r="U165">
        <v>3.21</v>
      </c>
      <c r="V165">
        <v>0.89</v>
      </c>
      <c r="W165">
        <v>5.7</v>
      </c>
    </row>
    <row r="166" spans="1:25" x14ac:dyDescent="0.3">
      <c r="A166">
        <v>7.4666666670000001</v>
      </c>
      <c r="B166">
        <v>2016</v>
      </c>
      <c r="C166">
        <v>7</v>
      </c>
      <c r="D166">
        <v>14</v>
      </c>
      <c r="E166" t="s">
        <v>43</v>
      </c>
      <c r="F166">
        <v>11</v>
      </c>
      <c r="G166">
        <v>8.8999999999999996E-2</v>
      </c>
      <c r="H166">
        <v>2.1999999999999999E-2</v>
      </c>
      <c r="I166">
        <v>5.58</v>
      </c>
      <c r="J166">
        <v>1.77</v>
      </c>
      <c r="K166">
        <v>0.78</v>
      </c>
      <c r="L166">
        <v>0.11</v>
      </c>
      <c r="M166">
        <v>19</v>
      </c>
      <c r="N166">
        <v>4</v>
      </c>
      <c r="R166">
        <v>20</v>
      </c>
      <c r="S166">
        <v>38.799999999999997</v>
      </c>
      <c r="T166">
        <v>4.5</v>
      </c>
      <c r="U166">
        <v>1.77</v>
      </c>
      <c r="V166">
        <v>7.0000000000000007E-2</v>
      </c>
    </row>
    <row r="167" spans="1:25" x14ac:dyDescent="0.3">
      <c r="A167">
        <v>7.3</v>
      </c>
      <c r="B167">
        <v>2015</v>
      </c>
      <c r="C167">
        <v>7</v>
      </c>
      <c r="D167">
        <v>9</v>
      </c>
      <c r="E167" t="s">
        <v>43</v>
      </c>
      <c r="G167">
        <v>8.5999999999999993E-2</v>
      </c>
      <c r="H167">
        <v>1.7999999999999999E-2</v>
      </c>
      <c r="I167">
        <v>8.16</v>
      </c>
      <c r="J167">
        <v>5.2</v>
      </c>
      <c r="K167">
        <v>1.02</v>
      </c>
      <c r="L167">
        <v>0.17</v>
      </c>
      <c r="M167">
        <v>18.7</v>
      </c>
      <c r="N167">
        <v>5.4</v>
      </c>
      <c r="O167">
        <v>258</v>
      </c>
      <c r="P167">
        <v>295</v>
      </c>
      <c r="Q167">
        <v>311</v>
      </c>
      <c r="R167">
        <v>21</v>
      </c>
      <c r="S167">
        <v>38.299999999999997</v>
      </c>
      <c r="T167">
        <v>10.4</v>
      </c>
      <c r="U167">
        <v>2.09</v>
      </c>
      <c r="V167">
        <v>0.36</v>
      </c>
      <c r="W167">
        <v>5.5</v>
      </c>
    </row>
    <row r="168" spans="1:25" x14ac:dyDescent="0.3">
      <c r="A168">
        <v>7.4333333330000002</v>
      </c>
      <c r="B168">
        <v>2015</v>
      </c>
      <c r="C168">
        <v>7</v>
      </c>
      <c r="D168">
        <v>13</v>
      </c>
      <c r="E168" t="s">
        <v>43</v>
      </c>
      <c r="F168">
        <v>30</v>
      </c>
      <c r="G168">
        <v>8.3000000000000004E-2</v>
      </c>
      <c r="H168">
        <v>4.3999999999999997E-2</v>
      </c>
      <c r="I168">
        <v>11.6</v>
      </c>
      <c r="J168">
        <v>2.2999999999999998</v>
      </c>
      <c r="K168">
        <v>0.76</v>
      </c>
      <c r="L168">
        <v>0.17</v>
      </c>
      <c r="M168">
        <v>16.100000000000001</v>
      </c>
      <c r="N168">
        <v>5.0999999999999996</v>
      </c>
      <c r="O168">
        <v>206</v>
      </c>
      <c r="P168">
        <v>265</v>
      </c>
      <c r="Q168">
        <v>292</v>
      </c>
      <c r="R168">
        <v>27</v>
      </c>
      <c r="S168">
        <v>34.299999999999997</v>
      </c>
      <c r="T168">
        <v>9.5</v>
      </c>
      <c r="U168">
        <v>2.42</v>
      </c>
      <c r="V168">
        <v>0.4</v>
      </c>
      <c r="W168">
        <v>5.5</v>
      </c>
    </row>
    <row r="169" spans="1:25" x14ac:dyDescent="0.3">
      <c r="A169">
        <v>7.1666666670000003</v>
      </c>
      <c r="B169">
        <v>2017</v>
      </c>
      <c r="C169">
        <v>7</v>
      </c>
      <c r="D169">
        <v>5</v>
      </c>
      <c r="E169" t="s">
        <v>43</v>
      </c>
      <c r="F169">
        <v>10</v>
      </c>
      <c r="G169">
        <v>8.1000000000000003E-2</v>
      </c>
      <c r="H169">
        <v>2.4E-2</v>
      </c>
      <c r="I169">
        <v>6.2</v>
      </c>
      <c r="J169">
        <v>1.01</v>
      </c>
      <c r="K169">
        <v>1.1399999999999999</v>
      </c>
      <c r="L169">
        <v>0.13</v>
      </c>
      <c r="M169">
        <v>15.1</v>
      </c>
      <c r="N169">
        <v>1.9</v>
      </c>
      <c r="S169">
        <v>48.4</v>
      </c>
      <c r="T169">
        <v>7.3</v>
      </c>
      <c r="U169">
        <v>0.41</v>
      </c>
      <c r="V169">
        <v>0.02</v>
      </c>
    </row>
    <row r="170" spans="1:25" x14ac:dyDescent="0.3">
      <c r="A170">
        <v>7.3666666669999996</v>
      </c>
      <c r="B170">
        <v>2017</v>
      </c>
      <c r="C170">
        <v>7</v>
      </c>
      <c r="D170">
        <v>11</v>
      </c>
      <c r="E170" t="s">
        <v>43</v>
      </c>
      <c r="F170">
        <v>26</v>
      </c>
      <c r="G170">
        <v>0.08</v>
      </c>
      <c r="H170">
        <v>2.5999999999999999E-2</v>
      </c>
      <c r="I170">
        <v>6.74</v>
      </c>
      <c r="J170">
        <v>1.85</v>
      </c>
      <c r="K170">
        <v>0.82</v>
      </c>
      <c r="L170">
        <v>0.11</v>
      </c>
      <c r="M170">
        <v>16.399999999999999</v>
      </c>
      <c r="N170">
        <v>4.9000000000000004</v>
      </c>
      <c r="S170">
        <v>37.5</v>
      </c>
      <c r="T170">
        <v>5.2</v>
      </c>
      <c r="U170">
        <v>0.72</v>
      </c>
      <c r="V170">
        <v>0.03</v>
      </c>
    </row>
    <row r="171" spans="1:25" x14ac:dyDescent="0.3">
      <c r="A171">
        <v>7.9333333330000002</v>
      </c>
      <c r="B171">
        <v>2016</v>
      </c>
      <c r="C171">
        <v>7</v>
      </c>
      <c r="D171">
        <v>28</v>
      </c>
      <c r="E171" t="s">
        <v>43</v>
      </c>
      <c r="G171">
        <v>7.8E-2</v>
      </c>
      <c r="H171">
        <v>2.8000000000000001E-2</v>
      </c>
      <c r="I171">
        <v>5.65</v>
      </c>
      <c r="J171">
        <v>1.0900000000000001</v>
      </c>
      <c r="K171">
        <v>0.94</v>
      </c>
      <c r="L171">
        <v>0.33</v>
      </c>
      <c r="M171">
        <v>16.5</v>
      </c>
      <c r="N171">
        <v>2.9</v>
      </c>
      <c r="O171">
        <v>204</v>
      </c>
      <c r="P171">
        <v>247</v>
      </c>
      <c r="Q171">
        <v>271</v>
      </c>
      <c r="R171">
        <v>23</v>
      </c>
      <c r="S171">
        <v>36.700000000000003</v>
      </c>
      <c r="T171">
        <v>8.6</v>
      </c>
      <c r="U171">
        <v>1.24</v>
      </c>
      <c r="V171">
        <v>0.05</v>
      </c>
      <c r="W171">
        <v>5.6</v>
      </c>
    </row>
    <row r="172" spans="1:25" x14ac:dyDescent="0.3">
      <c r="A172">
        <v>7.7</v>
      </c>
      <c r="B172">
        <v>2015</v>
      </c>
      <c r="C172">
        <v>7</v>
      </c>
      <c r="D172">
        <v>21</v>
      </c>
      <c r="E172" t="s">
        <v>43</v>
      </c>
      <c r="F172">
        <v>29</v>
      </c>
      <c r="G172">
        <v>7.5999999999999998E-2</v>
      </c>
      <c r="H172">
        <v>1.4E-2</v>
      </c>
      <c r="I172">
        <v>13.4</v>
      </c>
      <c r="J172">
        <v>3.9</v>
      </c>
      <c r="K172">
        <v>0.85</v>
      </c>
      <c r="L172">
        <v>0.08</v>
      </c>
      <c r="M172">
        <v>15.4</v>
      </c>
      <c r="N172">
        <v>2.9</v>
      </c>
      <c r="O172">
        <v>206</v>
      </c>
      <c r="P172">
        <v>252</v>
      </c>
      <c r="Q172">
        <v>280</v>
      </c>
      <c r="S172">
        <v>42.3</v>
      </c>
      <c r="T172">
        <v>8.5</v>
      </c>
      <c r="U172">
        <v>2.58</v>
      </c>
      <c r="V172">
        <v>0.28000000000000003</v>
      </c>
      <c r="W172">
        <v>4.8</v>
      </c>
    </row>
    <row r="173" spans="1:25" x14ac:dyDescent="0.3">
      <c r="A173">
        <v>7.3666666669999996</v>
      </c>
      <c r="B173">
        <v>2017</v>
      </c>
      <c r="C173">
        <v>7</v>
      </c>
      <c r="D173">
        <v>11</v>
      </c>
      <c r="E173" t="s">
        <v>43</v>
      </c>
      <c r="F173">
        <v>8</v>
      </c>
      <c r="G173">
        <v>7.5999999999999998E-2</v>
      </c>
      <c r="H173">
        <v>5.0999999999999997E-2</v>
      </c>
      <c r="I173">
        <v>6.25</v>
      </c>
      <c r="J173">
        <v>2.06</v>
      </c>
      <c r="K173">
        <v>0.96</v>
      </c>
      <c r="L173">
        <v>0.33</v>
      </c>
      <c r="M173">
        <v>14.7</v>
      </c>
      <c r="N173">
        <v>3.8</v>
      </c>
      <c r="O173">
        <v>217</v>
      </c>
      <c r="P173">
        <v>278</v>
      </c>
      <c r="Q173">
        <v>292</v>
      </c>
      <c r="S173">
        <v>49.4</v>
      </c>
      <c r="T173">
        <v>8.1999999999999993</v>
      </c>
      <c r="U173">
        <v>0.59</v>
      </c>
      <c r="V173">
        <v>0.04</v>
      </c>
      <c r="W173">
        <v>5.6</v>
      </c>
    </row>
    <row r="174" spans="1:25" x14ac:dyDescent="0.3">
      <c r="A174">
        <v>7.3666666669999996</v>
      </c>
      <c r="B174">
        <v>2017</v>
      </c>
      <c r="C174">
        <v>7</v>
      </c>
      <c r="D174">
        <v>11</v>
      </c>
      <c r="E174" t="s">
        <v>43</v>
      </c>
      <c r="F174">
        <v>4</v>
      </c>
      <c r="G174">
        <v>6.6000000000000003E-2</v>
      </c>
      <c r="H174">
        <v>1.9E-2</v>
      </c>
      <c r="I174">
        <v>6.65</v>
      </c>
      <c r="J174">
        <v>0.86</v>
      </c>
      <c r="K174">
        <v>0.77</v>
      </c>
      <c r="L174">
        <v>0.12</v>
      </c>
      <c r="M174">
        <v>13.5</v>
      </c>
      <c r="N174">
        <v>5.8</v>
      </c>
      <c r="S174">
        <v>37.5</v>
      </c>
      <c r="T174">
        <v>0</v>
      </c>
      <c r="U174">
        <v>0.4</v>
      </c>
      <c r="V174">
        <v>0.05</v>
      </c>
    </row>
    <row r="175" spans="1:25" x14ac:dyDescent="0.3">
      <c r="A175">
        <v>7.4333333330000002</v>
      </c>
      <c r="B175">
        <v>2016</v>
      </c>
      <c r="C175">
        <v>7</v>
      </c>
      <c r="D175">
        <v>13</v>
      </c>
      <c r="E175" t="s">
        <v>43</v>
      </c>
      <c r="F175">
        <v>11</v>
      </c>
      <c r="G175">
        <v>0.05</v>
      </c>
      <c r="H175">
        <v>1.0999999999999999E-2</v>
      </c>
      <c r="I175">
        <v>6.19</v>
      </c>
      <c r="J175">
        <v>1.82</v>
      </c>
      <c r="K175">
        <v>0.73</v>
      </c>
      <c r="L175">
        <v>0.12</v>
      </c>
      <c r="M175">
        <v>13.1</v>
      </c>
      <c r="N175">
        <v>2.9</v>
      </c>
      <c r="R175">
        <v>19</v>
      </c>
      <c r="S175">
        <v>57</v>
      </c>
      <c r="T175">
        <v>17.899999999999999</v>
      </c>
      <c r="U175">
        <v>0.87</v>
      </c>
      <c r="V175">
        <v>0.15</v>
      </c>
    </row>
    <row r="176" spans="1:25" x14ac:dyDescent="0.3">
      <c r="A176">
        <v>7.9333333330000002</v>
      </c>
      <c r="B176">
        <v>2016</v>
      </c>
      <c r="C176">
        <v>7</v>
      </c>
      <c r="D176">
        <v>28</v>
      </c>
      <c r="E176" t="s">
        <v>43</v>
      </c>
      <c r="F176">
        <v>11</v>
      </c>
      <c r="G176">
        <v>4.9000000000000002E-2</v>
      </c>
      <c r="H176">
        <v>1.6E-2</v>
      </c>
      <c r="I176">
        <v>5.91</v>
      </c>
      <c r="J176">
        <v>1.64</v>
      </c>
      <c r="K176">
        <v>0.8</v>
      </c>
      <c r="L176">
        <v>0.12</v>
      </c>
      <c r="M176">
        <v>11.5</v>
      </c>
      <c r="N176">
        <v>1.8</v>
      </c>
      <c r="O176">
        <v>201</v>
      </c>
      <c r="P176">
        <v>248</v>
      </c>
      <c r="Q176">
        <v>277</v>
      </c>
      <c r="R176">
        <v>16</v>
      </c>
      <c r="S176">
        <v>49.4</v>
      </c>
      <c r="T176">
        <v>18.7</v>
      </c>
      <c r="U176">
        <v>1.1399999999999999</v>
      </c>
      <c r="V176">
        <v>0.26</v>
      </c>
      <c r="W176">
        <v>7</v>
      </c>
      <c r="X176">
        <v>8.4</v>
      </c>
      <c r="Y176">
        <v>7.5</v>
      </c>
    </row>
    <row r="177" spans="1:25" x14ac:dyDescent="0.3">
      <c r="A177">
        <v>7.3666666669999996</v>
      </c>
      <c r="B177">
        <v>2017</v>
      </c>
      <c r="C177">
        <v>7</v>
      </c>
      <c r="D177">
        <v>11</v>
      </c>
      <c r="E177" t="s">
        <v>43</v>
      </c>
      <c r="F177">
        <v>17</v>
      </c>
      <c r="G177">
        <v>4.2000000000000003E-2</v>
      </c>
      <c r="H177">
        <v>1.2999999999999999E-2</v>
      </c>
      <c r="I177">
        <v>10.5</v>
      </c>
      <c r="J177">
        <v>1.94</v>
      </c>
      <c r="K177">
        <v>1.04</v>
      </c>
      <c r="L177">
        <v>0.23</v>
      </c>
      <c r="M177">
        <v>8.6999999999999993</v>
      </c>
      <c r="N177">
        <v>1.7</v>
      </c>
      <c r="O177">
        <v>218</v>
      </c>
      <c r="P177">
        <v>282</v>
      </c>
      <c r="Q177">
        <v>300</v>
      </c>
      <c r="R177">
        <v>21</v>
      </c>
      <c r="S177">
        <v>44.5</v>
      </c>
      <c r="T177">
        <v>6.8</v>
      </c>
      <c r="U177">
        <v>0.8</v>
      </c>
      <c r="V177">
        <v>0.06</v>
      </c>
      <c r="W177">
        <v>7.5</v>
      </c>
    </row>
    <row r="178" spans="1:25" x14ac:dyDescent="0.3">
      <c r="A178">
        <v>7.9</v>
      </c>
      <c r="B178">
        <v>2016</v>
      </c>
      <c r="C178">
        <v>7</v>
      </c>
      <c r="D178">
        <v>27</v>
      </c>
      <c r="E178" t="s">
        <v>43</v>
      </c>
      <c r="F178">
        <v>5</v>
      </c>
      <c r="G178">
        <v>5.0000000000000001E-3</v>
      </c>
      <c r="H178">
        <v>1E-3</v>
      </c>
      <c r="I178">
        <v>1.29</v>
      </c>
      <c r="J178">
        <v>0.78</v>
      </c>
      <c r="K178">
        <v>0.79</v>
      </c>
      <c r="L178">
        <v>0.22</v>
      </c>
      <c r="M178">
        <v>28.2</v>
      </c>
      <c r="N178">
        <v>7.8</v>
      </c>
      <c r="S178">
        <v>18.899999999999999</v>
      </c>
      <c r="T178">
        <v>3.3</v>
      </c>
      <c r="U178">
        <v>2.08</v>
      </c>
      <c r="V178">
        <v>7.0000000000000007E-2</v>
      </c>
    </row>
    <row r="179" spans="1:25" x14ac:dyDescent="0.3">
      <c r="A179">
        <v>7.9333333330000002</v>
      </c>
      <c r="B179">
        <v>2016</v>
      </c>
      <c r="C179">
        <v>7</v>
      </c>
      <c r="D179">
        <v>28</v>
      </c>
      <c r="E179" t="s">
        <v>43</v>
      </c>
      <c r="F179">
        <v>3</v>
      </c>
      <c r="R179">
        <v>14</v>
      </c>
      <c r="S179">
        <v>35.200000000000003</v>
      </c>
      <c r="T179">
        <v>8.8000000000000007</v>
      </c>
      <c r="U179">
        <v>0.64</v>
      </c>
      <c r="V179">
        <v>0.05</v>
      </c>
    </row>
    <row r="180" spans="1:25" x14ac:dyDescent="0.3">
      <c r="A180">
        <v>7.7</v>
      </c>
      <c r="B180">
        <v>2015</v>
      </c>
      <c r="C180">
        <v>7</v>
      </c>
      <c r="D180">
        <v>21</v>
      </c>
      <c r="E180" t="s">
        <v>43</v>
      </c>
      <c r="F180">
        <v>22</v>
      </c>
      <c r="R180">
        <v>12</v>
      </c>
    </row>
    <row r="181" spans="1:25" x14ac:dyDescent="0.3">
      <c r="A181">
        <v>7.4</v>
      </c>
      <c r="B181">
        <v>2017</v>
      </c>
      <c r="C181">
        <v>7</v>
      </c>
      <c r="D181">
        <v>12</v>
      </c>
      <c r="E181" t="s">
        <v>43</v>
      </c>
      <c r="F181">
        <v>4</v>
      </c>
      <c r="S181">
        <v>55.6</v>
      </c>
      <c r="T181">
        <v>8.5</v>
      </c>
      <c r="U181">
        <v>0.41</v>
      </c>
      <c r="V181">
        <v>0.03</v>
      </c>
    </row>
    <row r="182" spans="1:25" x14ac:dyDescent="0.3">
      <c r="A182">
        <v>7.766666667</v>
      </c>
      <c r="B182">
        <v>2017</v>
      </c>
      <c r="C182">
        <v>7</v>
      </c>
      <c r="D182">
        <v>23</v>
      </c>
      <c r="E182" t="s">
        <v>47</v>
      </c>
      <c r="G182">
        <v>0.216</v>
      </c>
      <c r="H182">
        <v>6.9000000000000006E-2</v>
      </c>
      <c r="I182">
        <v>28.6</v>
      </c>
      <c r="J182">
        <v>1.7</v>
      </c>
      <c r="K182">
        <v>2.21</v>
      </c>
      <c r="L182">
        <v>0.36</v>
      </c>
      <c r="M182">
        <v>15.5</v>
      </c>
      <c r="N182">
        <v>4.8</v>
      </c>
      <c r="O182">
        <v>222</v>
      </c>
      <c r="P182">
        <v>277</v>
      </c>
      <c r="Q182">
        <v>299</v>
      </c>
      <c r="R182">
        <v>34</v>
      </c>
      <c r="S182">
        <v>38.299999999999997</v>
      </c>
      <c r="T182">
        <v>6.3</v>
      </c>
      <c r="U182">
        <v>0.43</v>
      </c>
      <c r="V182">
        <v>0.04</v>
      </c>
      <c r="W182">
        <v>6.6</v>
      </c>
    </row>
    <row r="183" spans="1:25" x14ac:dyDescent="0.3">
      <c r="A183">
        <v>7.8666666669999996</v>
      </c>
      <c r="B183">
        <v>2017</v>
      </c>
      <c r="C183">
        <v>7</v>
      </c>
      <c r="D183">
        <v>26</v>
      </c>
      <c r="E183" t="s">
        <v>47</v>
      </c>
      <c r="G183">
        <v>0.121</v>
      </c>
      <c r="H183">
        <v>3.5999999999999997E-2</v>
      </c>
      <c r="I183">
        <v>11.6</v>
      </c>
      <c r="J183">
        <v>4.51</v>
      </c>
      <c r="K183">
        <v>1.43</v>
      </c>
      <c r="L183">
        <v>0.18</v>
      </c>
      <c r="M183">
        <v>16.8</v>
      </c>
      <c r="N183">
        <v>5.7</v>
      </c>
      <c r="O183">
        <v>257</v>
      </c>
      <c r="P183">
        <v>283</v>
      </c>
      <c r="Q183">
        <v>299</v>
      </c>
      <c r="R183">
        <v>7</v>
      </c>
      <c r="S183">
        <v>40.799999999999997</v>
      </c>
      <c r="T183">
        <v>4.2</v>
      </c>
      <c r="U183">
        <v>0.64</v>
      </c>
      <c r="V183">
        <v>0.02</v>
      </c>
      <c r="W183">
        <v>12</v>
      </c>
    </row>
    <row r="184" spans="1:25" x14ac:dyDescent="0.3">
      <c r="A184">
        <v>7.8666666669999996</v>
      </c>
      <c r="B184">
        <v>2017</v>
      </c>
      <c r="C184">
        <v>7</v>
      </c>
      <c r="D184">
        <v>26</v>
      </c>
      <c r="E184" t="s">
        <v>47</v>
      </c>
      <c r="F184">
        <v>9</v>
      </c>
      <c r="G184">
        <v>0.104</v>
      </c>
      <c r="H184">
        <v>7.0000000000000007E-2</v>
      </c>
      <c r="I184">
        <v>5.92</v>
      </c>
      <c r="J184">
        <v>0.44</v>
      </c>
      <c r="K184">
        <v>1.51</v>
      </c>
      <c r="L184">
        <v>0.51</v>
      </c>
      <c r="M184">
        <v>16.2</v>
      </c>
      <c r="N184">
        <v>6.2</v>
      </c>
      <c r="S184">
        <v>53</v>
      </c>
      <c r="T184">
        <v>8.6</v>
      </c>
      <c r="U184">
        <v>0.4</v>
      </c>
      <c r="V184">
        <v>0.03</v>
      </c>
    </row>
    <row r="185" spans="1:25" x14ac:dyDescent="0.3">
      <c r="A185">
        <v>7.8</v>
      </c>
      <c r="B185">
        <v>2017</v>
      </c>
      <c r="C185">
        <v>7</v>
      </c>
      <c r="D185">
        <v>24</v>
      </c>
      <c r="E185" t="s">
        <v>47</v>
      </c>
      <c r="G185">
        <v>0.10199999999999999</v>
      </c>
      <c r="H185">
        <v>3.7999999999999999E-2</v>
      </c>
      <c r="I185">
        <v>10.7</v>
      </c>
      <c r="J185">
        <v>1.46</v>
      </c>
      <c r="K185">
        <v>1.25</v>
      </c>
      <c r="L185">
        <v>0.2</v>
      </c>
      <c r="M185">
        <v>15.2</v>
      </c>
      <c r="N185">
        <v>3.6</v>
      </c>
      <c r="O185">
        <v>230</v>
      </c>
      <c r="P185">
        <v>283</v>
      </c>
      <c r="Q185">
        <v>298</v>
      </c>
      <c r="R185">
        <v>24</v>
      </c>
      <c r="S185">
        <v>44</v>
      </c>
      <c r="T185">
        <v>7.3</v>
      </c>
      <c r="U185">
        <v>1.74</v>
      </c>
      <c r="V185">
        <v>0.19</v>
      </c>
      <c r="W185">
        <v>6.6</v>
      </c>
      <c r="X185">
        <v>47.3</v>
      </c>
      <c r="Y185">
        <v>3.5</v>
      </c>
    </row>
    <row r="186" spans="1:25" x14ac:dyDescent="0.3">
      <c r="A186">
        <v>7.733333333</v>
      </c>
      <c r="B186">
        <v>2017</v>
      </c>
      <c r="C186">
        <v>7</v>
      </c>
      <c r="D186">
        <v>22</v>
      </c>
      <c r="E186" t="s">
        <v>47</v>
      </c>
      <c r="G186">
        <v>9.2999999999999999E-2</v>
      </c>
      <c r="H186">
        <v>2.5000000000000001E-2</v>
      </c>
      <c r="I186">
        <v>8.74</v>
      </c>
      <c r="J186">
        <v>2.46</v>
      </c>
      <c r="K186">
        <v>1.35</v>
      </c>
      <c r="L186">
        <v>0.21</v>
      </c>
      <c r="M186">
        <v>14.5</v>
      </c>
      <c r="N186">
        <v>2</v>
      </c>
      <c r="O186">
        <v>232</v>
      </c>
      <c r="P186">
        <v>277</v>
      </c>
      <c r="Q186">
        <v>295</v>
      </c>
      <c r="S186">
        <v>42.8</v>
      </c>
      <c r="T186">
        <v>4.4000000000000004</v>
      </c>
      <c r="U186">
        <v>0.54</v>
      </c>
      <c r="V186">
        <v>0.02</v>
      </c>
      <c r="W186">
        <v>21.9</v>
      </c>
    </row>
    <row r="187" spans="1:25" x14ac:dyDescent="0.3">
      <c r="A187">
        <v>7.8333333329999997</v>
      </c>
      <c r="B187">
        <v>2017</v>
      </c>
      <c r="C187">
        <v>7</v>
      </c>
      <c r="D187">
        <v>25</v>
      </c>
      <c r="E187" t="s">
        <v>47</v>
      </c>
      <c r="F187">
        <v>6</v>
      </c>
      <c r="G187">
        <v>8.4000000000000005E-2</v>
      </c>
      <c r="H187">
        <v>7.0999999999999994E-2</v>
      </c>
      <c r="I187">
        <v>8.0500000000000007</v>
      </c>
      <c r="J187">
        <v>1.64</v>
      </c>
      <c r="K187">
        <v>1.32</v>
      </c>
      <c r="L187">
        <v>0.54</v>
      </c>
      <c r="M187">
        <v>13.6</v>
      </c>
      <c r="N187">
        <v>7</v>
      </c>
      <c r="S187">
        <v>50.6</v>
      </c>
      <c r="T187">
        <v>8.1999999999999993</v>
      </c>
      <c r="U187">
        <v>0.46</v>
      </c>
      <c r="V187">
        <v>0.04</v>
      </c>
    </row>
    <row r="188" spans="1:25" x14ac:dyDescent="0.3">
      <c r="A188">
        <v>7.8333333329999997</v>
      </c>
      <c r="B188">
        <v>2017</v>
      </c>
      <c r="C188">
        <v>7</v>
      </c>
      <c r="D188">
        <v>25</v>
      </c>
      <c r="E188" t="s">
        <v>47</v>
      </c>
      <c r="F188">
        <v>11</v>
      </c>
      <c r="G188">
        <v>8.2000000000000003E-2</v>
      </c>
      <c r="H188">
        <v>0.02</v>
      </c>
      <c r="I188">
        <v>6</v>
      </c>
      <c r="J188">
        <v>1.22</v>
      </c>
      <c r="K188">
        <v>1.08</v>
      </c>
      <c r="L188">
        <v>0.11</v>
      </c>
      <c r="M188">
        <v>17.8</v>
      </c>
      <c r="N188">
        <v>1.3</v>
      </c>
      <c r="O188">
        <v>240</v>
      </c>
      <c r="P188">
        <v>283</v>
      </c>
      <c r="Q188">
        <v>299</v>
      </c>
      <c r="R188">
        <v>13</v>
      </c>
      <c r="S188">
        <v>37.6</v>
      </c>
      <c r="T188">
        <v>4.8</v>
      </c>
      <c r="U188">
        <v>1.39</v>
      </c>
      <c r="V188">
        <v>0.04</v>
      </c>
      <c r="W188">
        <v>10.6</v>
      </c>
      <c r="X188">
        <v>38.9</v>
      </c>
      <c r="Y188">
        <v>5.0999999999999996</v>
      </c>
    </row>
    <row r="189" spans="1:25" x14ac:dyDescent="0.3">
      <c r="A189">
        <v>7.733333333</v>
      </c>
      <c r="B189">
        <v>2017</v>
      </c>
      <c r="C189">
        <v>7</v>
      </c>
      <c r="D189">
        <v>22</v>
      </c>
      <c r="E189" t="s">
        <v>47</v>
      </c>
      <c r="F189">
        <v>6</v>
      </c>
      <c r="G189">
        <v>7.9000000000000001E-2</v>
      </c>
      <c r="H189">
        <v>2.8000000000000001E-2</v>
      </c>
      <c r="I189">
        <v>5.87</v>
      </c>
      <c r="J189">
        <v>1.45</v>
      </c>
      <c r="K189">
        <v>0.75</v>
      </c>
      <c r="L189">
        <v>0.12</v>
      </c>
      <c r="M189">
        <v>14.7</v>
      </c>
      <c r="N189">
        <v>4.8</v>
      </c>
      <c r="S189">
        <v>67.3</v>
      </c>
      <c r="T189">
        <v>11.9</v>
      </c>
      <c r="U189">
        <v>0.56999999999999995</v>
      </c>
      <c r="V189">
        <v>0.03</v>
      </c>
    </row>
    <row r="190" spans="1:25" x14ac:dyDescent="0.3">
      <c r="A190">
        <v>7.733333333</v>
      </c>
      <c r="B190">
        <v>2017</v>
      </c>
      <c r="C190">
        <v>7</v>
      </c>
      <c r="D190">
        <v>22</v>
      </c>
      <c r="E190" t="s">
        <v>47</v>
      </c>
      <c r="G190">
        <v>7.2999999999999995E-2</v>
      </c>
      <c r="H190">
        <v>3.1E-2</v>
      </c>
      <c r="I190">
        <v>3.39</v>
      </c>
      <c r="J190">
        <v>0.66</v>
      </c>
      <c r="K190">
        <v>0.88</v>
      </c>
      <c r="L190">
        <v>0.2</v>
      </c>
      <c r="M190">
        <v>17.899999999999999</v>
      </c>
      <c r="N190">
        <v>7.1</v>
      </c>
      <c r="O190">
        <v>274</v>
      </c>
      <c r="P190">
        <v>306</v>
      </c>
      <c r="Q190">
        <v>328</v>
      </c>
      <c r="S190">
        <v>41.5</v>
      </c>
      <c r="T190">
        <v>7.3</v>
      </c>
      <c r="U190">
        <v>0.56000000000000005</v>
      </c>
      <c r="V190">
        <v>0.03</v>
      </c>
      <c r="W190">
        <v>21.4</v>
      </c>
    </row>
    <row r="191" spans="1:25" x14ac:dyDescent="0.3">
      <c r="A191">
        <v>7.733333333</v>
      </c>
      <c r="B191">
        <v>2017</v>
      </c>
      <c r="C191">
        <v>7</v>
      </c>
      <c r="D191">
        <v>22</v>
      </c>
      <c r="E191" t="s">
        <v>47</v>
      </c>
      <c r="F191">
        <v>9</v>
      </c>
      <c r="G191">
        <v>6.3E-2</v>
      </c>
      <c r="H191">
        <v>1.2999999999999999E-2</v>
      </c>
      <c r="I191">
        <v>12.4</v>
      </c>
      <c r="J191">
        <v>2.2599999999999998</v>
      </c>
      <c r="K191">
        <v>1.1299999999999999</v>
      </c>
      <c r="L191">
        <v>0.13</v>
      </c>
      <c r="M191">
        <v>9.8000000000000007</v>
      </c>
      <c r="N191">
        <v>2</v>
      </c>
      <c r="O191">
        <v>227</v>
      </c>
      <c r="P191">
        <v>281</v>
      </c>
      <c r="Q191">
        <v>305</v>
      </c>
      <c r="S191">
        <v>44.6</v>
      </c>
      <c r="T191">
        <v>3.8</v>
      </c>
      <c r="U191">
        <v>0.79</v>
      </c>
      <c r="V191">
        <v>0.03</v>
      </c>
      <c r="W191">
        <v>8.6999999999999993</v>
      </c>
    </row>
    <row r="192" spans="1:25" x14ac:dyDescent="0.3">
      <c r="A192">
        <v>7.8333333329999997</v>
      </c>
      <c r="B192">
        <v>2017</v>
      </c>
      <c r="C192">
        <v>7</v>
      </c>
      <c r="D192">
        <v>25</v>
      </c>
      <c r="E192" t="s">
        <v>47</v>
      </c>
      <c r="F192">
        <v>15</v>
      </c>
      <c r="S192">
        <v>72.8</v>
      </c>
      <c r="T192">
        <v>20.5</v>
      </c>
      <c r="U192">
        <v>0.35</v>
      </c>
      <c r="V192">
        <v>0.03</v>
      </c>
    </row>
    <row r="193" spans="1:25" x14ac:dyDescent="0.3">
      <c r="A193">
        <v>7.766666667</v>
      </c>
      <c r="B193">
        <v>2017</v>
      </c>
      <c r="C193">
        <v>7</v>
      </c>
      <c r="D193">
        <v>23</v>
      </c>
      <c r="E193" t="s">
        <v>47</v>
      </c>
      <c r="F193">
        <v>7</v>
      </c>
      <c r="X193">
        <v>38</v>
      </c>
      <c r="Y193">
        <v>6.3</v>
      </c>
    </row>
    <row r="194" spans="1:25" x14ac:dyDescent="0.3">
      <c r="A194">
        <v>7.766666667</v>
      </c>
      <c r="B194">
        <v>2017</v>
      </c>
      <c r="C194">
        <v>7</v>
      </c>
      <c r="D194">
        <v>23</v>
      </c>
      <c r="E194" t="s">
        <v>47</v>
      </c>
      <c r="F194">
        <v>12</v>
      </c>
      <c r="X194">
        <v>49.2</v>
      </c>
      <c r="Y194">
        <v>5.7</v>
      </c>
    </row>
    <row r="195" spans="1:25" x14ac:dyDescent="0.3">
      <c r="A195">
        <v>7.1333333330000004</v>
      </c>
      <c r="B195">
        <v>2016</v>
      </c>
      <c r="C195">
        <v>7</v>
      </c>
      <c r="D195">
        <v>4</v>
      </c>
      <c r="E195" t="s">
        <v>46</v>
      </c>
      <c r="F195">
        <v>7</v>
      </c>
      <c r="G195">
        <v>0.19600000000000001</v>
      </c>
      <c r="H195">
        <v>4.4999999999999998E-2</v>
      </c>
      <c r="I195">
        <v>9.1199999999999992</v>
      </c>
      <c r="J195">
        <v>2.02</v>
      </c>
      <c r="K195">
        <v>1.35</v>
      </c>
      <c r="L195">
        <v>0.25</v>
      </c>
      <c r="M195">
        <v>24.8</v>
      </c>
      <c r="N195">
        <v>2.5</v>
      </c>
      <c r="R195">
        <v>12</v>
      </c>
      <c r="S195">
        <v>40.5</v>
      </c>
      <c r="T195">
        <v>4</v>
      </c>
      <c r="U195">
        <v>1.32</v>
      </c>
      <c r="V195">
        <v>0.03</v>
      </c>
    </row>
    <row r="196" spans="1:25" x14ac:dyDescent="0.3">
      <c r="A196">
        <v>7.0666666669999998</v>
      </c>
      <c r="B196">
        <v>2016</v>
      </c>
      <c r="C196">
        <v>7</v>
      </c>
      <c r="D196">
        <v>2</v>
      </c>
      <c r="E196" t="s">
        <v>46</v>
      </c>
      <c r="F196">
        <v>7</v>
      </c>
      <c r="G196">
        <v>0.159</v>
      </c>
      <c r="H196">
        <v>1.2999999999999999E-2</v>
      </c>
      <c r="I196">
        <v>17.3</v>
      </c>
      <c r="J196">
        <v>3.92</v>
      </c>
      <c r="K196">
        <v>1.65</v>
      </c>
      <c r="L196">
        <v>0.17</v>
      </c>
      <c r="M196">
        <v>15.9</v>
      </c>
      <c r="N196">
        <v>2.6</v>
      </c>
      <c r="O196">
        <v>198</v>
      </c>
      <c r="P196">
        <v>264</v>
      </c>
      <c r="Q196">
        <v>292</v>
      </c>
      <c r="R196">
        <v>10</v>
      </c>
      <c r="S196">
        <v>44.7</v>
      </c>
      <c r="T196">
        <v>5.5</v>
      </c>
      <c r="U196">
        <v>1.67</v>
      </c>
      <c r="V196">
        <v>0.13</v>
      </c>
      <c r="W196">
        <v>11.7</v>
      </c>
    </row>
    <row r="197" spans="1:25" x14ac:dyDescent="0.3">
      <c r="A197">
        <v>7.0666666669999998</v>
      </c>
      <c r="B197">
        <v>2016</v>
      </c>
      <c r="C197">
        <v>7</v>
      </c>
      <c r="D197">
        <v>2</v>
      </c>
      <c r="E197" t="s">
        <v>46</v>
      </c>
      <c r="F197">
        <v>6</v>
      </c>
      <c r="G197">
        <v>0.152</v>
      </c>
      <c r="H197">
        <v>5.0000000000000001E-3</v>
      </c>
      <c r="I197">
        <v>7.76</v>
      </c>
      <c r="J197">
        <v>2.11</v>
      </c>
      <c r="K197">
        <v>1.4</v>
      </c>
      <c r="L197">
        <v>0.16</v>
      </c>
      <c r="M197">
        <v>17.600000000000001</v>
      </c>
      <c r="N197">
        <v>3.2</v>
      </c>
      <c r="R197">
        <v>9</v>
      </c>
      <c r="S197">
        <v>28.4</v>
      </c>
      <c r="T197">
        <v>7.4</v>
      </c>
      <c r="U197">
        <v>0.75</v>
      </c>
      <c r="V197">
        <v>0.03</v>
      </c>
    </row>
    <row r="198" spans="1:25" x14ac:dyDescent="0.3">
      <c r="A198">
        <v>7.1</v>
      </c>
      <c r="B198">
        <v>2016</v>
      </c>
      <c r="C198">
        <v>7</v>
      </c>
      <c r="D198">
        <v>3</v>
      </c>
      <c r="E198" t="s">
        <v>46</v>
      </c>
      <c r="F198">
        <v>11</v>
      </c>
      <c r="G198">
        <v>0.14799999999999999</v>
      </c>
      <c r="H198">
        <v>3.6999999999999998E-2</v>
      </c>
      <c r="I198">
        <v>4.8899999999999997</v>
      </c>
      <c r="J198">
        <v>3.69</v>
      </c>
      <c r="K198">
        <v>1.3</v>
      </c>
      <c r="L198">
        <v>0.14000000000000001</v>
      </c>
      <c r="M198">
        <v>23.8</v>
      </c>
      <c r="N198">
        <v>3.4</v>
      </c>
      <c r="R198">
        <v>12</v>
      </c>
      <c r="S198">
        <v>44.6</v>
      </c>
      <c r="T198">
        <v>10.3</v>
      </c>
      <c r="U198">
        <v>0.79</v>
      </c>
      <c r="V198">
        <v>0.05</v>
      </c>
    </row>
    <row r="199" spans="1:25" x14ac:dyDescent="0.3">
      <c r="A199">
        <v>7.0666666669999998</v>
      </c>
      <c r="B199">
        <v>2016</v>
      </c>
      <c r="C199">
        <v>7</v>
      </c>
      <c r="D199">
        <v>2</v>
      </c>
      <c r="E199" t="s">
        <v>46</v>
      </c>
      <c r="F199">
        <v>14</v>
      </c>
      <c r="G199">
        <v>0.13900000000000001</v>
      </c>
      <c r="H199">
        <v>1.7000000000000001E-2</v>
      </c>
      <c r="I199">
        <v>15.4</v>
      </c>
      <c r="J199">
        <v>3.09</v>
      </c>
      <c r="K199">
        <v>1.82</v>
      </c>
      <c r="L199">
        <v>0.12</v>
      </c>
      <c r="M199">
        <v>15.3</v>
      </c>
      <c r="N199">
        <v>1.3</v>
      </c>
      <c r="O199">
        <v>224</v>
      </c>
      <c r="P199">
        <v>281</v>
      </c>
      <c r="Q199">
        <v>300</v>
      </c>
      <c r="R199">
        <v>24</v>
      </c>
      <c r="S199">
        <v>36.5</v>
      </c>
      <c r="T199">
        <v>0.8</v>
      </c>
      <c r="U199">
        <v>2.84</v>
      </c>
      <c r="V199">
        <v>0.02</v>
      </c>
      <c r="W199">
        <v>9.9</v>
      </c>
      <c r="X199">
        <v>34.1</v>
      </c>
      <c r="Y199">
        <v>3.4</v>
      </c>
    </row>
    <row r="200" spans="1:25" x14ac:dyDescent="0.3">
      <c r="A200">
        <v>7.0333333329999999</v>
      </c>
      <c r="B200">
        <v>2016</v>
      </c>
      <c r="C200">
        <v>7</v>
      </c>
      <c r="D200">
        <v>1</v>
      </c>
      <c r="E200" t="s">
        <v>46</v>
      </c>
      <c r="F200">
        <v>6</v>
      </c>
      <c r="G200">
        <v>0.13100000000000001</v>
      </c>
      <c r="H200">
        <v>3.5999999999999997E-2</v>
      </c>
      <c r="I200">
        <v>10.4</v>
      </c>
      <c r="J200">
        <v>2.86</v>
      </c>
      <c r="K200">
        <v>1.56</v>
      </c>
      <c r="L200">
        <v>0.24</v>
      </c>
      <c r="M200">
        <v>17.100000000000001</v>
      </c>
      <c r="N200">
        <v>3.2</v>
      </c>
      <c r="R200">
        <v>12</v>
      </c>
      <c r="S200">
        <v>58.9</v>
      </c>
      <c r="T200">
        <v>12.6</v>
      </c>
      <c r="U200">
        <v>0.8</v>
      </c>
      <c r="V200">
        <v>0.04</v>
      </c>
    </row>
    <row r="201" spans="1:25" x14ac:dyDescent="0.3">
      <c r="A201">
        <v>7.0333333329999999</v>
      </c>
      <c r="B201">
        <v>2016</v>
      </c>
      <c r="C201">
        <v>7</v>
      </c>
      <c r="D201">
        <v>1</v>
      </c>
      <c r="E201" t="s">
        <v>46</v>
      </c>
      <c r="F201">
        <v>7</v>
      </c>
      <c r="G201">
        <v>0.13100000000000001</v>
      </c>
      <c r="H201">
        <v>3.5999999999999997E-2</v>
      </c>
      <c r="I201">
        <v>10.4</v>
      </c>
      <c r="J201">
        <v>2.86</v>
      </c>
      <c r="K201">
        <v>0.81</v>
      </c>
      <c r="L201">
        <v>0.08</v>
      </c>
      <c r="M201">
        <v>8.9</v>
      </c>
      <c r="N201">
        <v>2</v>
      </c>
      <c r="O201">
        <v>209</v>
      </c>
      <c r="P201">
        <v>258</v>
      </c>
      <c r="Q201">
        <v>282</v>
      </c>
      <c r="R201">
        <v>24</v>
      </c>
      <c r="S201">
        <v>37.200000000000003</v>
      </c>
      <c r="T201">
        <v>7.2</v>
      </c>
      <c r="U201">
        <v>2.25</v>
      </c>
      <c r="V201">
        <v>0.25</v>
      </c>
      <c r="W201">
        <v>8.6</v>
      </c>
    </row>
    <row r="202" spans="1:25" x14ac:dyDescent="0.3">
      <c r="A202">
        <v>7.0333333329999999</v>
      </c>
      <c r="B202">
        <v>2016</v>
      </c>
      <c r="C202">
        <v>7</v>
      </c>
      <c r="D202">
        <v>1</v>
      </c>
      <c r="E202" t="s">
        <v>46</v>
      </c>
      <c r="F202">
        <v>10</v>
      </c>
      <c r="G202">
        <v>0.13</v>
      </c>
      <c r="H202">
        <v>1.4E-2</v>
      </c>
      <c r="I202">
        <v>6.84</v>
      </c>
      <c r="J202">
        <v>1.52</v>
      </c>
      <c r="K202">
        <v>0.97</v>
      </c>
      <c r="L202">
        <v>0.13</v>
      </c>
      <c r="M202">
        <v>30.8</v>
      </c>
      <c r="N202">
        <v>4.3</v>
      </c>
      <c r="O202">
        <v>248</v>
      </c>
      <c r="P202">
        <v>294</v>
      </c>
      <c r="Q202">
        <v>309</v>
      </c>
      <c r="R202">
        <v>22</v>
      </c>
      <c r="S202">
        <v>30.6</v>
      </c>
      <c r="T202">
        <v>7.9</v>
      </c>
      <c r="U202">
        <v>2.0699999999999998</v>
      </c>
      <c r="V202">
        <v>0.41</v>
      </c>
      <c r="W202">
        <v>3.8</v>
      </c>
    </row>
    <row r="203" spans="1:25" x14ac:dyDescent="0.3">
      <c r="A203">
        <v>7.0333333329999999</v>
      </c>
      <c r="B203">
        <v>2016</v>
      </c>
      <c r="C203">
        <v>7</v>
      </c>
      <c r="D203">
        <v>1</v>
      </c>
      <c r="E203" t="s">
        <v>46</v>
      </c>
      <c r="F203">
        <v>9</v>
      </c>
      <c r="G203">
        <v>0.128</v>
      </c>
      <c r="H203">
        <v>4.4999999999999998E-2</v>
      </c>
      <c r="I203">
        <v>9.24</v>
      </c>
      <c r="J203">
        <v>5.09</v>
      </c>
      <c r="K203">
        <v>1.47</v>
      </c>
      <c r="L203">
        <v>0.42</v>
      </c>
      <c r="M203">
        <v>15.9</v>
      </c>
      <c r="N203">
        <v>3.4</v>
      </c>
      <c r="S203">
        <v>45.4</v>
      </c>
      <c r="T203">
        <v>24.3</v>
      </c>
      <c r="U203">
        <v>1.1499999999999999</v>
      </c>
      <c r="V203">
        <v>0.32</v>
      </c>
    </row>
    <row r="204" spans="1:25" x14ac:dyDescent="0.3">
      <c r="A204">
        <v>7.1333333330000004</v>
      </c>
      <c r="B204">
        <v>2016</v>
      </c>
      <c r="C204">
        <v>7</v>
      </c>
      <c r="D204">
        <v>4</v>
      </c>
      <c r="E204" t="s">
        <v>46</v>
      </c>
      <c r="F204">
        <v>4</v>
      </c>
      <c r="G204">
        <v>0.126</v>
      </c>
      <c r="H204">
        <v>4.2000000000000003E-2</v>
      </c>
      <c r="I204">
        <v>4.04</v>
      </c>
      <c r="J204">
        <v>1.51</v>
      </c>
      <c r="K204">
        <v>1.26</v>
      </c>
      <c r="L204">
        <v>0.15</v>
      </c>
      <c r="M204">
        <v>20.3</v>
      </c>
      <c r="N204">
        <v>2.5</v>
      </c>
      <c r="O204">
        <v>263</v>
      </c>
      <c r="P204">
        <v>292</v>
      </c>
      <c r="Q204">
        <v>307</v>
      </c>
      <c r="R204">
        <v>10</v>
      </c>
      <c r="S204">
        <v>61.7</v>
      </c>
      <c r="T204">
        <v>11.3</v>
      </c>
      <c r="U204">
        <v>0.7</v>
      </c>
      <c r="V204">
        <v>0.03</v>
      </c>
      <c r="W204">
        <v>15.6</v>
      </c>
    </row>
    <row r="205" spans="1:25" x14ac:dyDescent="0.3">
      <c r="A205">
        <v>7.0666666669999998</v>
      </c>
      <c r="B205">
        <v>2016</v>
      </c>
      <c r="C205">
        <v>7</v>
      </c>
      <c r="D205">
        <v>2</v>
      </c>
      <c r="E205" t="s">
        <v>46</v>
      </c>
      <c r="F205">
        <v>7</v>
      </c>
      <c r="G205">
        <v>0.124</v>
      </c>
      <c r="H205">
        <v>3.4000000000000002E-2</v>
      </c>
      <c r="I205">
        <v>6.77</v>
      </c>
      <c r="J205">
        <v>2.67</v>
      </c>
      <c r="K205">
        <v>1.32</v>
      </c>
      <c r="L205">
        <v>0.19</v>
      </c>
      <c r="M205">
        <v>18.7</v>
      </c>
      <c r="N205">
        <v>2</v>
      </c>
      <c r="R205">
        <v>11</v>
      </c>
      <c r="S205">
        <v>48.3</v>
      </c>
      <c r="T205">
        <v>11.5</v>
      </c>
      <c r="U205">
        <v>0.9</v>
      </c>
      <c r="V205">
        <v>0.03</v>
      </c>
    </row>
    <row r="206" spans="1:25" x14ac:dyDescent="0.3">
      <c r="A206">
        <v>7.0333333329999999</v>
      </c>
      <c r="B206">
        <v>2016</v>
      </c>
      <c r="C206">
        <v>7</v>
      </c>
      <c r="D206">
        <v>1</v>
      </c>
      <c r="E206" t="s">
        <v>46</v>
      </c>
      <c r="F206">
        <v>22</v>
      </c>
      <c r="G206">
        <v>0.112</v>
      </c>
      <c r="H206">
        <v>6.7000000000000004E-2</v>
      </c>
      <c r="I206">
        <v>7.93</v>
      </c>
      <c r="J206">
        <v>2.7</v>
      </c>
      <c r="K206">
        <v>1.23</v>
      </c>
      <c r="L206">
        <v>0.43</v>
      </c>
      <c r="M206">
        <v>18.399999999999999</v>
      </c>
      <c r="N206">
        <v>4.3</v>
      </c>
      <c r="O206">
        <v>243</v>
      </c>
      <c r="P206">
        <v>292</v>
      </c>
      <c r="Q206">
        <v>309</v>
      </c>
      <c r="R206">
        <v>23</v>
      </c>
      <c r="S206">
        <v>40.799999999999997</v>
      </c>
      <c r="T206">
        <v>3.8</v>
      </c>
      <c r="U206">
        <v>5.37</v>
      </c>
      <c r="V206">
        <v>0.13</v>
      </c>
      <c r="W206">
        <v>8.6</v>
      </c>
      <c r="X206">
        <v>55.7</v>
      </c>
      <c r="Y206">
        <v>4.5</v>
      </c>
    </row>
    <row r="207" spans="1:25" x14ac:dyDescent="0.3">
      <c r="A207">
        <v>7.0666666669999998</v>
      </c>
      <c r="B207">
        <v>2016</v>
      </c>
      <c r="C207">
        <v>7</v>
      </c>
      <c r="D207">
        <v>2</v>
      </c>
      <c r="E207" t="s">
        <v>46</v>
      </c>
      <c r="F207">
        <v>9</v>
      </c>
      <c r="G207">
        <v>0.106</v>
      </c>
      <c r="H207">
        <v>1.9E-2</v>
      </c>
      <c r="I207">
        <v>8.17</v>
      </c>
      <c r="J207">
        <v>1.19</v>
      </c>
      <c r="K207">
        <v>0.91</v>
      </c>
      <c r="L207">
        <v>7.0000000000000007E-2</v>
      </c>
      <c r="M207">
        <v>18</v>
      </c>
      <c r="N207">
        <v>3.7</v>
      </c>
      <c r="R207">
        <v>12</v>
      </c>
      <c r="S207">
        <v>37.4</v>
      </c>
      <c r="T207">
        <v>9.6</v>
      </c>
      <c r="U207">
        <v>1.19</v>
      </c>
      <c r="V207">
        <v>0.14000000000000001</v>
      </c>
    </row>
    <row r="208" spans="1:25" x14ac:dyDescent="0.3">
      <c r="A208">
        <v>7.0666666669999998</v>
      </c>
      <c r="B208">
        <v>2016</v>
      </c>
      <c r="C208">
        <v>7</v>
      </c>
      <c r="D208">
        <v>2</v>
      </c>
      <c r="E208" t="s">
        <v>46</v>
      </c>
      <c r="F208">
        <v>20</v>
      </c>
      <c r="G208">
        <v>0.10100000000000001</v>
      </c>
      <c r="H208">
        <v>2.9000000000000001E-2</v>
      </c>
      <c r="I208">
        <v>12.1</v>
      </c>
      <c r="J208">
        <v>2.48</v>
      </c>
      <c r="K208">
        <v>1.0900000000000001</v>
      </c>
      <c r="L208">
        <v>0.25</v>
      </c>
      <c r="M208">
        <v>15.9</v>
      </c>
      <c r="N208">
        <v>5.0999999999999996</v>
      </c>
      <c r="R208">
        <v>11</v>
      </c>
      <c r="S208">
        <v>45</v>
      </c>
      <c r="T208">
        <v>25</v>
      </c>
      <c r="U208">
        <v>1.1000000000000001</v>
      </c>
      <c r="V208">
        <v>0.33</v>
      </c>
    </row>
    <row r="209" spans="1:25" x14ac:dyDescent="0.3">
      <c r="A209">
        <v>7.0333333329999999</v>
      </c>
      <c r="B209">
        <v>2016</v>
      </c>
      <c r="C209">
        <v>7</v>
      </c>
      <c r="D209">
        <v>1</v>
      </c>
      <c r="E209" t="s">
        <v>46</v>
      </c>
      <c r="F209">
        <v>10</v>
      </c>
      <c r="G209">
        <v>8.6999999999999994E-2</v>
      </c>
      <c r="H209">
        <v>2.8000000000000001E-2</v>
      </c>
      <c r="I209">
        <v>24.1</v>
      </c>
      <c r="J209">
        <v>9.16</v>
      </c>
      <c r="K209">
        <v>1.68</v>
      </c>
      <c r="L209">
        <v>0.36</v>
      </c>
      <c r="M209">
        <v>8.6999999999999993</v>
      </c>
      <c r="N209">
        <v>0.5</v>
      </c>
      <c r="O209">
        <v>203</v>
      </c>
      <c r="P209">
        <v>273</v>
      </c>
      <c r="Q209">
        <v>297</v>
      </c>
      <c r="R209">
        <v>25</v>
      </c>
      <c r="S209">
        <v>28.3</v>
      </c>
      <c r="T209">
        <v>7.3</v>
      </c>
      <c r="U209">
        <v>1.28</v>
      </c>
      <c r="V209">
        <v>0.17</v>
      </c>
      <c r="W209">
        <v>8.1</v>
      </c>
    </row>
    <row r="210" spans="1:25" x14ac:dyDescent="0.3">
      <c r="A210">
        <v>7.0666666669999998</v>
      </c>
      <c r="B210">
        <v>2016</v>
      </c>
      <c r="C210">
        <v>7</v>
      </c>
      <c r="D210">
        <v>2</v>
      </c>
      <c r="E210" t="s">
        <v>46</v>
      </c>
      <c r="F210">
        <v>7</v>
      </c>
      <c r="G210">
        <v>7.6999999999999999E-2</v>
      </c>
      <c r="H210">
        <v>5.0999999999999997E-2</v>
      </c>
      <c r="I210">
        <v>7.63</v>
      </c>
      <c r="J210">
        <v>3.58</v>
      </c>
      <c r="K210">
        <v>1.01</v>
      </c>
      <c r="L210">
        <v>0.33</v>
      </c>
      <c r="M210">
        <v>11.2</v>
      </c>
      <c r="N210">
        <v>2.2000000000000002</v>
      </c>
      <c r="O210">
        <v>215</v>
      </c>
      <c r="P210">
        <v>285</v>
      </c>
      <c r="Q210">
        <v>316</v>
      </c>
      <c r="R210">
        <v>24</v>
      </c>
      <c r="S210">
        <v>54.6</v>
      </c>
      <c r="T210">
        <v>7.9</v>
      </c>
      <c r="U210">
        <v>0.69</v>
      </c>
      <c r="V210">
        <v>0.02</v>
      </c>
      <c r="W210">
        <v>4.5</v>
      </c>
    </row>
    <row r="211" spans="1:25" x14ac:dyDescent="0.3">
      <c r="A211">
        <v>7.0666666669999998</v>
      </c>
      <c r="B211">
        <v>2016</v>
      </c>
      <c r="C211">
        <v>7</v>
      </c>
      <c r="D211">
        <v>2</v>
      </c>
      <c r="E211" t="s">
        <v>46</v>
      </c>
      <c r="G211">
        <v>5.2999999999999999E-2</v>
      </c>
      <c r="H211">
        <v>3.9E-2</v>
      </c>
      <c r="I211">
        <v>6.72</v>
      </c>
      <c r="J211">
        <v>3.66</v>
      </c>
      <c r="K211">
        <v>0.95</v>
      </c>
      <c r="L211">
        <v>0.43</v>
      </c>
      <c r="M211">
        <v>10.8</v>
      </c>
      <c r="N211">
        <v>3.2</v>
      </c>
      <c r="S211">
        <v>52.2</v>
      </c>
      <c r="T211">
        <v>18.5</v>
      </c>
      <c r="U211">
        <v>1</v>
      </c>
      <c r="V211">
        <v>0.12</v>
      </c>
    </row>
    <row r="212" spans="1:25" x14ac:dyDescent="0.3">
      <c r="A212">
        <v>7.0666666669999998</v>
      </c>
      <c r="B212">
        <v>2016</v>
      </c>
      <c r="C212">
        <v>7</v>
      </c>
      <c r="D212">
        <v>2</v>
      </c>
      <c r="E212" t="s">
        <v>46</v>
      </c>
      <c r="F212">
        <v>11</v>
      </c>
      <c r="G212">
        <v>4.5999999999999999E-2</v>
      </c>
      <c r="H212">
        <v>8.0000000000000002E-3</v>
      </c>
      <c r="I212">
        <v>4.2300000000000004</v>
      </c>
      <c r="J212">
        <v>0.31</v>
      </c>
      <c r="K212">
        <v>0.59</v>
      </c>
      <c r="L212">
        <v>0.05</v>
      </c>
      <c r="M212">
        <v>17</v>
      </c>
      <c r="N212">
        <v>0.6</v>
      </c>
      <c r="O212">
        <v>227</v>
      </c>
      <c r="P212">
        <v>278</v>
      </c>
      <c r="Q212">
        <v>297</v>
      </c>
      <c r="R212">
        <v>20</v>
      </c>
      <c r="S212">
        <v>33.4</v>
      </c>
      <c r="T212">
        <v>5</v>
      </c>
      <c r="U212">
        <v>2.0699999999999998</v>
      </c>
      <c r="V212">
        <v>0.02</v>
      </c>
      <c r="W212">
        <v>12.3</v>
      </c>
    </row>
    <row r="213" spans="1:25" x14ac:dyDescent="0.3">
      <c r="A213">
        <v>7.0666666669999998</v>
      </c>
      <c r="B213">
        <v>2016</v>
      </c>
      <c r="C213">
        <v>7</v>
      </c>
      <c r="D213">
        <v>2</v>
      </c>
      <c r="E213" t="s">
        <v>46</v>
      </c>
      <c r="F213">
        <v>7</v>
      </c>
      <c r="G213">
        <v>2.5000000000000001E-2</v>
      </c>
      <c r="H213">
        <v>8.0000000000000002E-3</v>
      </c>
      <c r="I213">
        <v>4.21</v>
      </c>
      <c r="J213">
        <v>0.52</v>
      </c>
      <c r="K213">
        <v>0.45</v>
      </c>
      <c r="L213">
        <v>0.17</v>
      </c>
      <c r="M213">
        <v>9.9</v>
      </c>
      <c r="N213">
        <v>1.3</v>
      </c>
      <c r="S213">
        <v>40.9</v>
      </c>
      <c r="T213">
        <v>5.8</v>
      </c>
      <c r="U213">
        <v>1.25</v>
      </c>
      <c r="V213">
        <v>0.08</v>
      </c>
    </row>
    <row r="214" spans="1:25" x14ac:dyDescent="0.3">
      <c r="A214">
        <v>7.0666666669999998</v>
      </c>
      <c r="B214">
        <v>2016</v>
      </c>
      <c r="C214">
        <v>7</v>
      </c>
      <c r="D214">
        <v>2</v>
      </c>
      <c r="E214" t="s">
        <v>46</v>
      </c>
      <c r="F214">
        <v>6</v>
      </c>
      <c r="S214">
        <v>35.9</v>
      </c>
      <c r="T214">
        <v>9.1999999999999993</v>
      </c>
      <c r="U214">
        <v>2.57</v>
      </c>
      <c r="V214">
        <v>0.22</v>
      </c>
    </row>
    <row r="215" spans="1:25" x14ac:dyDescent="0.3">
      <c r="A215">
        <v>8.3000000000000007</v>
      </c>
      <c r="B215">
        <v>2017</v>
      </c>
      <c r="C215">
        <v>8</v>
      </c>
      <c r="D215">
        <v>9</v>
      </c>
      <c r="E215" t="s">
        <v>43</v>
      </c>
      <c r="G215">
        <v>0.23200000000000001</v>
      </c>
      <c r="H215">
        <v>3.6999999999999998E-2</v>
      </c>
      <c r="I215">
        <v>18.600000000000001</v>
      </c>
      <c r="J215">
        <v>3.11</v>
      </c>
      <c r="K215">
        <v>2.31</v>
      </c>
      <c r="L215">
        <v>0.23</v>
      </c>
      <c r="M215">
        <v>21.7</v>
      </c>
      <c r="N215">
        <v>4.5999999999999996</v>
      </c>
      <c r="O215">
        <v>218</v>
      </c>
      <c r="P215">
        <v>290</v>
      </c>
      <c r="Q215">
        <v>307</v>
      </c>
      <c r="R215">
        <v>9</v>
      </c>
      <c r="S215">
        <v>59.8</v>
      </c>
      <c r="T215">
        <v>8.6999999999999993</v>
      </c>
      <c r="U215">
        <v>0.32</v>
      </c>
      <c r="V215">
        <v>0.01</v>
      </c>
      <c r="W215">
        <v>11.2</v>
      </c>
    </row>
    <row r="216" spans="1:25" x14ac:dyDescent="0.3">
      <c r="A216">
        <v>8.1333333329999995</v>
      </c>
      <c r="B216">
        <v>2016</v>
      </c>
      <c r="C216">
        <v>8</v>
      </c>
      <c r="D216">
        <v>4</v>
      </c>
      <c r="E216" t="s">
        <v>43</v>
      </c>
      <c r="F216">
        <v>4</v>
      </c>
      <c r="G216">
        <v>0.192</v>
      </c>
      <c r="H216">
        <v>7.8E-2</v>
      </c>
      <c r="I216">
        <v>6.59</v>
      </c>
      <c r="J216">
        <v>1.96</v>
      </c>
      <c r="K216">
        <v>2.1800000000000002</v>
      </c>
      <c r="L216">
        <v>0.74</v>
      </c>
      <c r="M216">
        <v>20.8</v>
      </c>
      <c r="N216">
        <v>5</v>
      </c>
      <c r="R216">
        <v>12</v>
      </c>
      <c r="S216">
        <v>77</v>
      </c>
      <c r="T216">
        <v>11.9</v>
      </c>
      <c r="U216">
        <v>0.57999999999999996</v>
      </c>
      <c r="V216">
        <v>0.04</v>
      </c>
    </row>
    <row r="217" spans="1:25" x14ac:dyDescent="0.3">
      <c r="A217">
        <v>8.7333333329999991</v>
      </c>
      <c r="B217">
        <v>2017</v>
      </c>
      <c r="C217">
        <v>8</v>
      </c>
      <c r="D217">
        <v>22</v>
      </c>
      <c r="E217" t="s">
        <v>43</v>
      </c>
      <c r="G217">
        <v>0.16800000000000001</v>
      </c>
      <c r="H217">
        <v>7.8E-2</v>
      </c>
      <c r="I217">
        <v>8.5399999999999991</v>
      </c>
      <c r="J217">
        <v>1.64</v>
      </c>
      <c r="K217">
        <v>1.0900000000000001</v>
      </c>
      <c r="L217">
        <v>0.11</v>
      </c>
      <c r="M217">
        <v>30.5</v>
      </c>
      <c r="N217">
        <v>12.5</v>
      </c>
      <c r="O217">
        <v>201</v>
      </c>
      <c r="P217">
        <v>263</v>
      </c>
      <c r="Q217">
        <v>290</v>
      </c>
      <c r="R217">
        <v>16</v>
      </c>
      <c r="S217">
        <v>42.9</v>
      </c>
      <c r="T217">
        <v>3.7</v>
      </c>
      <c r="U217">
        <v>1.52</v>
      </c>
      <c r="V217">
        <v>0.04</v>
      </c>
      <c r="W217">
        <v>10.3</v>
      </c>
    </row>
    <row r="218" spans="1:25" x14ac:dyDescent="0.3">
      <c r="A218">
        <v>8.8666666670000005</v>
      </c>
      <c r="B218">
        <v>2015</v>
      </c>
      <c r="C218">
        <v>8</v>
      </c>
      <c r="D218">
        <v>26</v>
      </c>
      <c r="E218" t="s">
        <v>43</v>
      </c>
      <c r="F218">
        <v>10</v>
      </c>
      <c r="G218">
        <v>0.16</v>
      </c>
      <c r="H218">
        <v>2.5999999999999999E-2</v>
      </c>
      <c r="I218">
        <v>21.9</v>
      </c>
      <c r="J218">
        <v>1.7</v>
      </c>
      <c r="K218">
        <v>2.37</v>
      </c>
      <c r="L218">
        <v>0.08</v>
      </c>
      <c r="M218">
        <v>15</v>
      </c>
      <c r="N218">
        <v>2.6</v>
      </c>
      <c r="O218">
        <v>230</v>
      </c>
      <c r="P218">
        <v>285</v>
      </c>
      <c r="Q218">
        <v>303</v>
      </c>
      <c r="R218">
        <v>20</v>
      </c>
      <c r="S218">
        <v>56.4</v>
      </c>
      <c r="T218">
        <v>13.4</v>
      </c>
      <c r="U218">
        <v>2.34</v>
      </c>
      <c r="V218">
        <v>0.31</v>
      </c>
      <c r="W218">
        <v>7.9</v>
      </c>
      <c r="X218">
        <v>50.6</v>
      </c>
      <c r="Y218">
        <v>2.4</v>
      </c>
    </row>
    <row r="219" spans="1:25" x14ac:dyDescent="0.3">
      <c r="A219">
        <v>8.7666666670000009</v>
      </c>
      <c r="B219">
        <v>2017</v>
      </c>
      <c r="C219">
        <v>8</v>
      </c>
      <c r="D219">
        <v>23</v>
      </c>
      <c r="E219" t="s">
        <v>43</v>
      </c>
      <c r="F219">
        <v>3</v>
      </c>
      <c r="G219">
        <v>0.13100000000000001</v>
      </c>
      <c r="H219">
        <v>6.0999999999999999E-2</v>
      </c>
      <c r="I219">
        <v>6.31</v>
      </c>
      <c r="J219">
        <v>1.22</v>
      </c>
      <c r="K219">
        <v>1.7</v>
      </c>
      <c r="L219">
        <v>0.36</v>
      </c>
      <c r="M219">
        <v>18.899999999999999</v>
      </c>
      <c r="N219">
        <v>4.7</v>
      </c>
      <c r="S219">
        <v>82.7</v>
      </c>
      <c r="T219">
        <v>10.3</v>
      </c>
      <c r="U219">
        <v>0.33</v>
      </c>
      <c r="V219">
        <v>0.03</v>
      </c>
    </row>
    <row r="220" spans="1:25" x14ac:dyDescent="0.3">
      <c r="A220">
        <v>8.2333333329999991</v>
      </c>
      <c r="B220">
        <v>2017</v>
      </c>
      <c r="C220">
        <v>8</v>
      </c>
      <c r="D220">
        <v>7</v>
      </c>
      <c r="E220" t="s">
        <v>43</v>
      </c>
      <c r="F220">
        <v>5</v>
      </c>
      <c r="G220">
        <v>0.10199999999999999</v>
      </c>
      <c r="H220">
        <v>0.04</v>
      </c>
      <c r="I220">
        <v>10.4</v>
      </c>
      <c r="J220">
        <v>1.82</v>
      </c>
      <c r="K220">
        <v>1.63</v>
      </c>
      <c r="L220">
        <v>0.18</v>
      </c>
      <c r="M220">
        <v>13.2</v>
      </c>
      <c r="N220">
        <v>2.2999999999999998</v>
      </c>
      <c r="S220">
        <v>60</v>
      </c>
      <c r="T220">
        <v>12.2</v>
      </c>
      <c r="U220">
        <v>0.36</v>
      </c>
      <c r="V220">
        <v>0.03</v>
      </c>
    </row>
    <row r="221" spans="1:25" x14ac:dyDescent="0.3">
      <c r="A221">
        <v>8.2333333329999991</v>
      </c>
      <c r="B221">
        <v>2017</v>
      </c>
      <c r="C221">
        <v>8</v>
      </c>
      <c r="D221">
        <v>7</v>
      </c>
      <c r="E221" t="s">
        <v>43</v>
      </c>
      <c r="G221">
        <v>9.8000000000000004E-2</v>
      </c>
      <c r="H221">
        <v>3.5000000000000003E-2</v>
      </c>
      <c r="I221">
        <v>9.16</v>
      </c>
      <c r="J221">
        <v>0.68</v>
      </c>
      <c r="K221">
        <v>0.68</v>
      </c>
      <c r="L221">
        <v>0.1</v>
      </c>
      <c r="M221">
        <v>21.2</v>
      </c>
      <c r="N221">
        <v>4.4000000000000004</v>
      </c>
      <c r="O221">
        <v>222</v>
      </c>
      <c r="P221">
        <v>283</v>
      </c>
      <c r="Q221">
        <v>302</v>
      </c>
      <c r="R221">
        <v>28</v>
      </c>
      <c r="S221">
        <v>45.4</v>
      </c>
      <c r="T221">
        <v>3.6</v>
      </c>
      <c r="U221">
        <v>1.27</v>
      </c>
      <c r="V221">
        <v>0.02</v>
      </c>
      <c r="W221">
        <v>9.3000000000000007</v>
      </c>
    </row>
    <row r="222" spans="1:25" x14ac:dyDescent="0.3">
      <c r="A222">
        <v>8.5</v>
      </c>
      <c r="B222">
        <v>2015</v>
      </c>
      <c r="C222">
        <v>8</v>
      </c>
      <c r="D222">
        <v>15</v>
      </c>
      <c r="E222" t="s">
        <v>43</v>
      </c>
      <c r="F222">
        <v>16</v>
      </c>
      <c r="G222">
        <v>9.7000000000000003E-2</v>
      </c>
      <c r="H222">
        <v>2.1999999999999999E-2</v>
      </c>
      <c r="I222">
        <v>9.61</v>
      </c>
      <c r="J222">
        <v>0.91</v>
      </c>
      <c r="K222">
        <v>1.0900000000000001</v>
      </c>
      <c r="L222">
        <v>0.14000000000000001</v>
      </c>
      <c r="M222">
        <v>16.399999999999999</v>
      </c>
      <c r="N222">
        <v>2</v>
      </c>
      <c r="O222">
        <v>198</v>
      </c>
      <c r="P222">
        <v>240</v>
      </c>
      <c r="Q222">
        <v>273</v>
      </c>
      <c r="R222">
        <v>23</v>
      </c>
      <c r="S222">
        <v>31.6</v>
      </c>
      <c r="T222">
        <v>11.5</v>
      </c>
      <c r="U222">
        <v>4.5599999999999996</v>
      </c>
      <c r="V222">
        <v>0.39</v>
      </c>
      <c r="W222">
        <v>3.4</v>
      </c>
    </row>
    <row r="223" spans="1:25" x14ac:dyDescent="0.3">
      <c r="A223">
        <v>8.1333333329999995</v>
      </c>
      <c r="B223">
        <v>2016</v>
      </c>
      <c r="C223">
        <v>8</v>
      </c>
      <c r="D223">
        <v>4</v>
      </c>
      <c r="E223" t="s">
        <v>43</v>
      </c>
      <c r="F223">
        <v>4</v>
      </c>
      <c r="G223">
        <v>9.7000000000000003E-2</v>
      </c>
      <c r="H223">
        <v>6.2E-2</v>
      </c>
      <c r="I223">
        <v>3.57</v>
      </c>
      <c r="J223">
        <v>1.73</v>
      </c>
      <c r="K223">
        <v>0.85</v>
      </c>
      <c r="L223">
        <v>0.25</v>
      </c>
      <c r="M223">
        <v>43.2</v>
      </c>
      <c r="N223">
        <v>5.3</v>
      </c>
      <c r="S223">
        <v>60.7</v>
      </c>
      <c r="T223">
        <v>8.1999999999999993</v>
      </c>
      <c r="U223">
        <v>0.75</v>
      </c>
      <c r="V223">
        <v>0.05</v>
      </c>
    </row>
    <row r="224" spans="1:25" x14ac:dyDescent="0.3">
      <c r="A224">
        <v>8.3000000000000007</v>
      </c>
      <c r="B224">
        <v>2017</v>
      </c>
      <c r="C224">
        <v>8</v>
      </c>
      <c r="D224">
        <v>9</v>
      </c>
      <c r="E224" t="s">
        <v>43</v>
      </c>
      <c r="G224">
        <v>7.0999999999999994E-2</v>
      </c>
      <c r="H224">
        <v>6.5000000000000002E-2</v>
      </c>
      <c r="I224">
        <v>14.2</v>
      </c>
      <c r="J224">
        <v>3.4</v>
      </c>
      <c r="K224">
        <v>0.82</v>
      </c>
      <c r="L224">
        <v>0.16</v>
      </c>
      <c r="M224">
        <v>14.3</v>
      </c>
      <c r="N224">
        <v>10.6</v>
      </c>
      <c r="S224">
        <v>47.3</v>
      </c>
      <c r="T224">
        <v>7.9</v>
      </c>
      <c r="U224">
        <v>0.48</v>
      </c>
      <c r="V224">
        <v>0.05</v>
      </c>
    </row>
    <row r="225" spans="1:25" x14ac:dyDescent="0.3">
      <c r="A225">
        <v>8.1333333329999995</v>
      </c>
      <c r="B225">
        <v>2016</v>
      </c>
      <c r="C225">
        <v>8</v>
      </c>
      <c r="D225">
        <v>4</v>
      </c>
      <c r="E225" t="s">
        <v>43</v>
      </c>
      <c r="F225">
        <v>4</v>
      </c>
      <c r="G225">
        <v>6.8000000000000005E-2</v>
      </c>
      <c r="H225">
        <v>0.03</v>
      </c>
      <c r="I225">
        <v>5.98</v>
      </c>
      <c r="J225">
        <v>0.53</v>
      </c>
      <c r="K225">
        <v>0.83</v>
      </c>
      <c r="L225">
        <v>0.11</v>
      </c>
      <c r="M225">
        <v>16.399999999999999</v>
      </c>
      <c r="N225">
        <v>5.2</v>
      </c>
      <c r="S225">
        <v>58.1</v>
      </c>
      <c r="T225">
        <v>9</v>
      </c>
      <c r="U225">
        <v>0.7</v>
      </c>
      <c r="V225">
        <v>0.02</v>
      </c>
    </row>
    <row r="226" spans="1:25" x14ac:dyDescent="0.3">
      <c r="A226">
        <v>8.5</v>
      </c>
      <c r="B226">
        <v>2015</v>
      </c>
      <c r="C226">
        <v>8</v>
      </c>
      <c r="D226">
        <v>15</v>
      </c>
      <c r="E226" t="s">
        <v>43</v>
      </c>
      <c r="F226">
        <v>19</v>
      </c>
      <c r="G226">
        <v>6.2E-2</v>
      </c>
      <c r="H226">
        <v>1.7999999999999999E-2</v>
      </c>
      <c r="I226">
        <v>8.31</v>
      </c>
      <c r="J226">
        <v>1.1000000000000001</v>
      </c>
      <c r="K226">
        <v>0.87</v>
      </c>
      <c r="L226">
        <v>0.06</v>
      </c>
      <c r="M226">
        <v>15.2</v>
      </c>
      <c r="N226">
        <v>4.8</v>
      </c>
      <c r="O226">
        <v>252</v>
      </c>
      <c r="P226">
        <v>289</v>
      </c>
      <c r="Q226">
        <v>306</v>
      </c>
      <c r="R226">
        <v>19</v>
      </c>
      <c r="S226">
        <v>37.5</v>
      </c>
      <c r="T226">
        <v>7.7</v>
      </c>
      <c r="U226">
        <v>4.9400000000000004</v>
      </c>
      <c r="V226">
        <v>0.49</v>
      </c>
      <c r="W226">
        <v>8.8000000000000007</v>
      </c>
    </row>
    <row r="227" spans="1:25" x14ac:dyDescent="0.3">
      <c r="A227">
        <v>8.1666666669999994</v>
      </c>
      <c r="B227">
        <v>2016</v>
      </c>
      <c r="C227">
        <v>8</v>
      </c>
      <c r="D227">
        <v>5</v>
      </c>
      <c r="E227" t="s">
        <v>43</v>
      </c>
      <c r="F227">
        <v>8</v>
      </c>
      <c r="G227">
        <v>6.2E-2</v>
      </c>
      <c r="H227">
        <v>4.4999999999999998E-2</v>
      </c>
      <c r="I227">
        <v>25.3</v>
      </c>
      <c r="J227">
        <v>9.76</v>
      </c>
      <c r="K227">
        <v>1.64</v>
      </c>
      <c r="L227">
        <v>0.74</v>
      </c>
      <c r="M227">
        <v>6.6</v>
      </c>
      <c r="N227">
        <v>2.9</v>
      </c>
      <c r="R227">
        <v>19</v>
      </c>
      <c r="S227">
        <v>33.6</v>
      </c>
      <c r="T227">
        <v>9.9</v>
      </c>
      <c r="U227">
        <v>0.68</v>
      </c>
      <c r="V227">
        <v>0.09</v>
      </c>
    </row>
    <row r="228" spans="1:25" x14ac:dyDescent="0.3">
      <c r="A228">
        <v>8.1666666669999994</v>
      </c>
      <c r="B228">
        <v>2016</v>
      </c>
      <c r="C228">
        <v>8</v>
      </c>
      <c r="D228">
        <v>5</v>
      </c>
      <c r="E228" t="s">
        <v>43</v>
      </c>
      <c r="F228">
        <v>4</v>
      </c>
      <c r="G228">
        <v>5.8999999999999997E-2</v>
      </c>
      <c r="H228">
        <v>1.7999999999999999E-2</v>
      </c>
      <c r="I228">
        <v>8.93</v>
      </c>
      <c r="J228">
        <v>1.99</v>
      </c>
      <c r="K228">
        <v>0.68</v>
      </c>
      <c r="L228">
        <v>0.13</v>
      </c>
      <c r="M228">
        <v>14.4</v>
      </c>
      <c r="N228">
        <v>3.3</v>
      </c>
      <c r="S228">
        <v>39.299999999999997</v>
      </c>
      <c r="T228">
        <v>7</v>
      </c>
      <c r="U228">
        <v>0.56999999999999995</v>
      </c>
      <c r="V228">
        <v>0.02</v>
      </c>
    </row>
    <row r="229" spans="1:25" x14ac:dyDescent="0.3">
      <c r="A229">
        <v>8.1666666669999994</v>
      </c>
      <c r="B229">
        <v>2016</v>
      </c>
      <c r="C229">
        <v>8</v>
      </c>
      <c r="D229">
        <v>5</v>
      </c>
      <c r="E229" t="s">
        <v>43</v>
      </c>
      <c r="F229">
        <v>3</v>
      </c>
      <c r="G229">
        <v>5.2999999999999999E-2</v>
      </c>
      <c r="H229">
        <v>1.4999999999999999E-2</v>
      </c>
      <c r="I229">
        <v>4.07</v>
      </c>
      <c r="J229">
        <v>0.76</v>
      </c>
      <c r="K229">
        <v>0.57999999999999996</v>
      </c>
      <c r="L229">
        <v>0.09</v>
      </c>
      <c r="M229">
        <v>17</v>
      </c>
      <c r="N229">
        <v>2.1</v>
      </c>
      <c r="R229">
        <v>19</v>
      </c>
      <c r="S229">
        <v>44</v>
      </c>
      <c r="T229">
        <v>7.1</v>
      </c>
      <c r="U229">
        <v>1.0900000000000001</v>
      </c>
      <c r="V229">
        <v>0.06</v>
      </c>
    </row>
    <row r="230" spans="1:25" x14ac:dyDescent="0.3">
      <c r="A230">
        <v>8.8666666670000005</v>
      </c>
      <c r="B230">
        <v>2015</v>
      </c>
      <c r="C230">
        <v>8</v>
      </c>
      <c r="D230">
        <v>26</v>
      </c>
      <c r="E230" t="s">
        <v>43</v>
      </c>
      <c r="F230">
        <v>15</v>
      </c>
      <c r="G230">
        <v>0.05</v>
      </c>
      <c r="H230">
        <v>1.7999999999999999E-2</v>
      </c>
      <c r="I230">
        <v>9.6</v>
      </c>
      <c r="J230">
        <v>2.56</v>
      </c>
      <c r="K230">
        <v>0.63</v>
      </c>
      <c r="L230">
        <v>0.12</v>
      </c>
      <c r="M230">
        <v>12.1</v>
      </c>
      <c r="N230">
        <v>2.7</v>
      </c>
      <c r="O230">
        <v>226</v>
      </c>
      <c r="P230">
        <v>288</v>
      </c>
      <c r="Q230">
        <v>303</v>
      </c>
      <c r="R230">
        <v>20</v>
      </c>
      <c r="S230">
        <v>41.8</v>
      </c>
      <c r="T230">
        <v>5.2</v>
      </c>
      <c r="U230">
        <v>2.2999999999999998</v>
      </c>
      <c r="V230">
        <v>0.21</v>
      </c>
      <c r="W230">
        <v>5.8</v>
      </c>
      <c r="X230">
        <v>47.8</v>
      </c>
      <c r="Y230">
        <v>4.8</v>
      </c>
    </row>
    <row r="231" spans="1:25" x14ac:dyDescent="0.3">
      <c r="A231">
        <v>8.9</v>
      </c>
      <c r="B231">
        <v>2015</v>
      </c>
      <c r="C231">
        <v>8</v>
      </c>
      <c r="D231">
        <v>27</v>
      </c>
      <c r="E231" t="s">
        <v>43</v>
      </c>
      <c r="F231">
        <v>19</v>
      </c>
      <c r="G231">
        <v>4.5999999999999999E-2</v>
      </c>
      <c r="H231">
        <v>8.0000000000000002E-3</v>
      </c>
      <c r="I231">
        <v>5.83</v>
      </c>
      <c r="J231">
        <v>0.65</v>
      </c>
      <c r="K231">
        <v>0.49</v>
      </c>
      <c r="L231">
        <v>0.02</v>
      </c>
      <c r="M231">
        <v>18.100000000000001</v>
      </c>
      <c r="N231">
        <v>2.4</v>
      </c>
      <c r="O231">
        <v>248</v>
      </c>
      <c r="P231">
        <v>292</v>
      </c>
      <c r="Q231">
        <v>308</v>
      </c>
      <c r="R231">
        <v>20</v>
      </c>
      <c r="S231">
        <v>23.4</v>
      </c>
      <c r="T231">
        <v>4.4000000000000004</v>
      </c>
      <c r="U231">
        <v>6.29</v>
      </c>
      <c r="V231">
        <v>0.5</v>
      </c>
      <c r="W231">
        <v>9.1999999999999993</v>
      </c>
      <c r="X231">
        <v>47.9</v>
      </c>
      <c r="Y231">
        <v>2.6</v>
      </c>
    </row>
    <row r="232" spans="1:25" x14ac:dyDescent="0.3">
      <c r="A232">
        <v>8.1666666669999994</v>
      </c>
      <c r="B232">
        <v>2016</v>
      </c>
      <c r="C232">
        <v>8</v>
      </c>
      <c r="D232">
        <v>5</v>
      </c>
      <c r="E232" t="s">
        <v>43</v>
      </c>
      <c r="F232">
        <v>4</v>
      </c>
      <c r="G232">
        <v>3.6999999999999998E-2</v>
      </c>
      <c r="H232">
        <v>6.0000000000000001E-3</v>
      </c>
      <c r="I232">
        <v>14.2</v>
      </c>
      <c r="J232">
        <v>2.06</v>
      </c>
      <c r="K232">
        <v>0.98</v>
      </c>
      <c r="L232">
        <v>0.22</v>
      </c>
      <c r="M232">
        <v>7</v>
      </c>
      <c r="N232">
        <v>2</v>
      </c>
      <c r="S232">
        <v>57.6</v>
      </c>
      <c r="T232">
        <v>18.100000000000001</v>
      </c>
      <c r="U232">
        <v>0.43</v>
      </c>
      <c r="V232">
        <v>0.02</v>
      </c>
    </row>
    <row r="233" spans="1:25" x14ac:dyDescent="0.3">
      <c r="A233">
        <v>8.9333333330000002</v>
      </c>
      <c r="B233">
        <v>2015</v>
      </c>
      <c r="C233">
        <v>8</v>
      </c>
      <c r="D233">
        <v>28</v>
      </c>
      <c r="E233" t="s">
        <v>43</v>
      </c>
      <c r="F233">
        <v>21</v>
      </c>
      <c r="G233">
        <v>2.3E-2</v>
      </c>
      <c r="H233">
        <v>1.0999999999999999E-2</v>
      </c>
      <c r="I233">
        <v>6.99</v>
      </c>
      <c r="J233">
        <v>1.2</v>
      </c>
      <c r="K233">
        <v>0.5</v>
      </c>
      <c r="L233">
        <v>0.17</v>
      </c>
      <c r="M233">
        <v>8.1</v>
      </c>
      <c r="N233">
        <v>1.4</v>
      </c>
      <c r="O233">
        <v>243</v>
      </c>
      <c r="P233">
        <v>285</v>
      </c>
      <c r="Q233">
        <v>304</v>
      </c>
      <c r="R233">
        <v>21</v>
      </c>
      <c r="S233">
        <v>48.4</v>
      </c>
      <c r="T233">
        <v>15.1</v>
      </c>
      <c r="U233">
        <v>2.0699999999999998</v>
      </c>
      <c r="V233">
        <v>0.43</v>
      </c>
      <c r="W233">
        <v>5.8</v>
      </c>
    </row>
    <row r="234" spans="1:25" x14ac:dyDescent="0.3">
      <c r="A234">
        <v>8.1666666669999994</v>
      </c>
      <c r="B234">
        <v>2016</v>
      </c>
      <c r="C234">
        <v>8</v>
      </c>
      <c r="D234">
        <v>5</v>
      </c>
      <c r="E234" t="s">
        <v>43</v>
      </c>
      <c r="F234">
        <v>12</v>
      </c>
      <c r="S234">
        <v>25.9</v>
      </c>
      <c r="T234">
        <v>7.3</v>
      </c>
      <c r="U234">
        <v>0.37</v>
      </c>
      <c r="V234">
        <v>0.04</v>
      </c>
    </row>
    <row r="235" spans="1:25" x14ac:dyDescent="0.3">
      <c r="A235">
        <v>8.1666666669999994</v>
      </c>
      <c r="B235">
        <v>2016</v>
      </c>
      <c r="C235">
        <v>8</v>
      </c>
      <c r="D235">
        <v>5</v>
      </c>
      <c r="E235" t="s">
        <v>43</v>
      </c>
      <c r="F235">
        <v>10</v>
      </c>
      <c r="S235">
        <v>28.3</v>
      </c>
      <c r="T235">
        <v>7.8</v>
      </c>
      <c r="U235">
        <v>0.72</v>
      </c>
      <c r="V235">
        <v>7.0000000000000007E-2</v>
      </c>
    </row>
    <row r="236" spans="1:25" x14ac:dyDescent="0.3">
      <c r="A236">
        <v>8.2333333329999991</v>
      </c>
      <c r="B236">
        <v>2017</v>
      </c>
      <c r="C236">
        <v>8</v>
      </c>
      <c r="D236">
        <v>7</v>
      </c>
      <c r="E236" t="s">
        <v>43</v>
      </c>
      <c r="F236">
        <v>5</v>
      </c>
      <c r="S236">
        <v>36.6</v>
      </c>
      <c r="T236">
        <v>7</v>
      </c>
      <c r="U236">
        <v>0.39</v>
      </c>
      <c r="V236">
        <v>0.03</v>
      </c>
    </row>
    <row r="237" spans="1:25" x14ac:dyDescent="0.3">
      <c r="A237">
        <v>8.7666666670000009</v>
      </c>
      <c r="B237">
        <v>2017</v>
      </c>
      <c r="C237">
        <v>8</v>
      </c>
      <c r="D237">
        <v>23</v>
      </c>
      <c r="E237" t="s">
        <v>43</v>
      </c>
      <c r="X237">
        <v>32.4</v>
      </c>
      <c r="Y237">
        <v>7.3</v>
      </c>
    </row>
    <row r="238" spans="1:25" x14ac:dyDescent="0.3">
      <c r="A238">
        <v>9.9333333330000002</v>
      </c>
      <c r="B238">
        <v>2016</v>
      </c>
      <c r="C238">
        <v>9</v>
      </c>
      <c r="D238">
        <v>28</v>
      </c>
      <c r="E238" t="s">
        <v>43</v>
      </c>
      <c r="F238">
        <v>8</v>
      </c>
      <c r="G238">
        <v>0.23899999999999999</v>
      </c>
      <c r="H238">
        <v>9.9000000000000005E-2</v>
      </c>
      <c r="I238">
        <v>9.01</v>
      </c>
      <c r="J238">
        <v>3.46</v>
      </c>
      <c r="K238">
        <v>1.05</v>
      </c>
      <c r="L238">
        <v>0.28999999999999998</v>
      </c>
      <c r="M238">
        <v>34.299999999999997</v>
      </c>
      <c r="N238">
        <v>10.1</v>
      </c>
      <c r="O238">
        <v>224</v>
      </c>
      <c r="P238">
        <v>277</v>
      </c>
      <c r="Q238">
        <v>298</v>
      </c>
      <c r="R238">
        <v>16</v>
      </c>
      <c r="S238">
        <v>39.5</v>
      </c>
      <c r="T238">
        <v>9.1</v>
      </c>
      <c r="U238">
        <v>0.68</v>
      </c>
      <c r="V238">
        <v>0.04</v>
      </c>
      <c r="W238">
        <v>4.8</v>
      </c>
    </row>
    <row r="239" spans="1:25" x14ac:dyDescent="0.3">
      <c r="A239">
        <v>9.4333333330000002</v>
      </c>
      <c r="B239">
        <v>2015</v>
      </c>
      <c r="C239">
        <v>9</v>
      </c>
      <c r="D239">
        <v>13</v>
      </c>
      <c r="E239" t="s">
        <v>43</v>
      </c>
      <c r="F239">
        <v>11</v>
      </c>
      <c r="G239">
        <v>0.20300000000000001</v>
      </c>
      <c r="H239">
        <v>3.2000000000000001E-2</v>
      </c>
      <c r="I239">
        <v>9.4</v>
      </c>
      <c r="J239">
        <v>2.73</v>
      </c>
      <c r="K239">
        <v>1.34</v>
      </c>
      <c r="L239">
        <v>0.17</v>
      </c>
      <c r="M239">
        <v>29.2</v>
      </c>
      <c r="N239">
        <v>2.1</v>
      </c>
      <c r="O239">
        <v>205</v>
      </c>
      <c r="P239">
        <v>261</v>
      </c>
      <c r="Q239">
        <v>289</v>
      </c>
      <c r="R239">
        <v>28</v>
      </c>
      <c r="S239">
        <v>41.3</v>
      </c>
      <c r="T239">
        <v>5.6</v>
      </c>
      <c r="U239">
        <v>1.18</v>
      </c>
      <c r="V239">
        <v>0.04</v>
      </c>
      <c r="W239">
        <v>5.2</v>
      </c>
    </row>
    <row r="240" spans="1:25" x14ac:dyDescent="0.3">
      <c r="A240">
        <v>9.9</v>
      </c>
      <c r="B240">
        <v>2015</v>
      </c>
      <c r="C240">
        <v>9</v>
      </c>
      <c r="D240">
        <v>27</v>
      </c>
      <c r="E240" t="s">
        <v>43</v>
      </c>
      <c r="F240">
        <v>4</v>
      </c>
      <c r="G240">
        <v>0.19500000000000001</v>
      </c>
      <c r="H240">
        <v>6.4000000000000001E-2</v>
      </c>
      <c r="I240">
        <v>9.7100000000000009</v>
      </c>
      <c r="J240">
        <v>3.2</v>
      </c>
      <c r="K240">
        <v>1.45</v>
      </c>
      <c r="L240">
        <v>0.3</v>
      </c>
      <c r="M240">
        <v>27.4</v>
      </c>
      <c r="N240">
        <v>5.3</v>
      </c>
      <c r="R240">
        <v>19</v>
      </c>
      <c r="S240">
        <v>53.7</v>
      </c>
      <c r="T240">
        <v>9.8000000000000007</v>
      </c>
      <c r="U240">
        <v>0.86</v>
      </c>
      <c r="V240">
        <v>7.0000000000000007E-2</v>
      </c>
    </row>
    <row r="241" spans="1:25" x14ac:dyDescent="0.3">
      <c r="A241">
        <v>9.4</v>
      </c>
      <c r="B241">
        <v>2017</v>
      </c>
      <c r="C241">
        <v>9</v>
      </c>
      <c r="D241">
        <v>12</v>
      </c>
      <c r="E241" t="s">
        <v>43</v>
      </c>
      <c r="G241">
        <v>0.185</v>
      </c>
      <c r="H241">
        <v>3.1E-2</v>
      </c>
      <c r="I241">
        <v>10.3</v>
      </c>
      <c r="J241">
        <v>1.74</v>
      </c>
      <c r="K241">
        <v>1.52</v>
      </c>
      <c r="L241">
        <v>0.11</v>
      </c>
      <c r="M241">
        <v>23.6</v>
      </c>
      <c r="N241">
        <v>4.9000000000000004</v>
      </c>
      <c r="O241">
        <v>266</v>
      </c>
      <c r="P241">
        <v>298</v>
      </c>
      <c r="Q241">
        <v>319</v>
      </c>
      <c r="S241">
        <v>51.3</v>
      </c>
      <c r="T241">
        <v>6</v>
      </c>
      <c r="U241">
        <v>0.46</v>
      </c>
      <c r="V241">
        <v>0.02</v>
      </c>
      <c r="W241">
        <v>12.9</v>
      </c>
    </row>
    <row r="242" spans="1:25" x14ac:dyDescent="0.3">
      <c r="A242">
        <v>9.9</v>
      </c>
      <c r="B242">
        <v>2015</v>
      </c>
      <c r="C242">
        <v>9</v>
      </c>
      <c r="D242">
        <v>27</v>
      </c>
      <c r="E242" t="s">
        <v>43</v>
      </c>
      <c r="F242">
        <v>6</v>
      </c>
      <c r="G242">
        <v>0.161</v>
      </c>
      <c r="H242">
        <v>6.2E-2</v>
      </c>
      <c r="I242">
        <v>9.4499999999999993</v>
      </c>
      <c r="J242">
        <v>0.52</v>
      </c>
      <c r="K242">
        <v>1.1000000000000001</v>
      </c>
      <c r="L242">
        <v>0.02</v>
      </c>
      <c r="M242">
        <v>22.3</v>
      </c>
      <c r="N242">
        <v>10.199999999999999</v>
      </c>
      <c r="R242">
        <v>22</v>
      </c>
      <c r="S242">
        <v>49.5</v>
      </c>
      <c r="T242">
        <v>14.6</v>
      </c>
      <c r="U242">
        <v>0.7</v>
      </c>
      <c r="V242">
        <v>0.05</v>
      </c>
    </row>
    <row r="243" spans="1:25" x14ac:dyDescent="0.3">
      <c r="A243">
        <v>9.2333333329999991</v>
      </c>
      <c r="B243">
        <v>2016</v>
      </c>
      <c r="C243">
        <v>9</v>
      </c>
      <c r="D243">
        <v>7</v>
      </c>
      <c r="E243" t="s">
        <v>43</v>
      </c>
      <c r="F243">
        <v>5</v>
      </c>
      <c r="G243">
        <v>0.159</v>
      </c>
      <c r="H243">
        <v>2.1000000000000001E-2</v>
      </c>
      <c r="I243">
        <v>6.59</v>
      </c>
      <c r="J243">
        <v>0.96</v>
      </c>
      <c r="K243">
        <v>1.21</v>
      </c>
      <c r="L243">
        <v>0.09</v>
      </c>
      <c r="M243">
        <v>24.5</v>
      </c>
      <c r="N243">
        <v>2.4</v>
      </c>
      <c r="R243">
        <v>18</v>
      </c>
      <c r="S243">
        <v>39.299999999999997</v>
      </c>
      <c r="T243">
        <v>5.3</v>
      </c>
      <c r="U243">
        <v>1.52</v>
      </c>
      <c r="V243">
        <v>7.0000000000000007E-2</v>
      </c>
    </row>
    <row r="244" spans="1:25" x14ac:dyDescent="0.3">
      <c r="A244">
        <v>9.9666666670000001</v>
      </c>
      <c r="B244">
        <v>2016</v>
      </c>
      <c r="C244">
        <v>9</v>
      </c>
      <c r="D244">
        <v>29</v>
      </c>
      <c r="E244" t="s">
        <v>43</v>
      </c>
      <c r="F244">
        <v>11</v>
      </c>
      <c r="G244">
        <v>0.154</v>
      </c>
      <c r="H244">
        <v>4.3999999999999997E-2</v>
      </c>
      <c r="I244">
        <v>4.8499999999999996</v>
      </c>
      <c r="J244">
        <v>1.52</v>
      </c>
      <c r="K244">
        <v>1.2</v>
      </c>
      <c r="L244">
        <v>0.11</v>
      </c>
      <c r="M244">
        <v>27.3</v>
      </c>
      <c r="N244">
        <v>3.6</v>
      </c>
      <c r="O244">
        <v>216</v>
      </c>
      <c r="P244">
        <v>285</v>
      </c>
      <c r="Q244">
        <v>300</v>
      </c>
      <c r="R244">
        <v>12</v>
      </c>
      <c r="S244">
        <v>42.1</v>
      </c>
      <c r="T244">
        <v>8</v>
      </c>
      <c r="U244">
        <v>1.79</v>
      </c>
      <c r="V244">
        <v>0.04</v>
      </c>
      <c r="W244">
        <v>2.2000000000000002</v>
      </c>
    </row>
    <row r="245" spans="1:25" x14ac:dyDescent="0.3">
      <c r="A245">
        <v>9.4</v>
      </c>
      <c r="B245">
        <v>2017</v>
      </c>
      <c r="C245">
        <v>9</v>
      </c>
      <c r="D245">
        <v>12</v>
      </c>
      <c r="E245" t="s">
        <v>43</v>
      </c>
      <c r="F245">
        <v>7</v>
      </c>
      <c r="G245">
        <v>0.153</v>
      </c>
      <c r="H245">
        <v>7.2999999999999995E-2</v>
      </c>
      <c r="I245">
        <v>5.35</v>
      </c>
      <c r="J245">
        <v>0.98</v>
      </c>
      <c r="K245">
        <v>1.33</v>
      </c>
      <c r="L245">
        <v>0.47</v>
      </c>
      <c r="M245">
        <v>27.1</v>
      </c>
      <c r="N245">
        <v>5.8</v>
      </c>
      <c r="S245">
        <v>41.6</v>
      </c>
      <c r="T245">
        <v>4.5999999999999996</v>
      </c>
      <c r="U245">
        <v>0.62</v>
      </c>
      <c r="V245">
        <v>0.05</v>
      </c>
    </row>
    <row r="246" spans="1:25" x14ac:dyDescent="0.3">
      <c r="A246">
        <v>9.9</v>
      </c>
      <c r="B246">
        <v>2015</v>
      </c>
      <c r="C246">
        <v>9</v>
      </c>
      <c r="D246">
        <v>27</v>
      </c>
      <c r="E246" t="s">
        <v>43</v>
      </c>
      <c r="F246">
        <v>5</v>
      </c>
      <c r="G246">
        <v>0.14399999999999999</v>
      </c>
      <c r="H246">
        <v>2.9000000000000001E-2</v>
      </c>
      <c r="I246">
        <v>8.9</v>
      </c>
      <c r="J246">
        <v>0.95</v>
      </c>
      <c r="K246">
        <v>1.21</v>
      </c>
      <c r="L246">
        <v>0.09</v>
      </c>
      <c r="M246">
        <v>24.3</v>
      </c>
      <c r="N246">
        <v>4.3</v>
      </c>
      <c r="O246">
        <v>189</v>
      </c>
      <c r="P246">
        <v>223</v>
      </c>
      <c r="Q246">
        <v>252</v>
      </c>
      <c r="R246">
        <v>19</v>
      </c>
      <c r="S246">
        <v>38.1</v>
      </c>
      <c r="T246">
        <v>4.7</v>
      </c>
      <c r="U246">
        <v>1.45</v>
      </c>
      <c r="V246">
        <v>0.06</v>
      </c>
      <c r="W246">
        <v>4</v>
      </c>
    </row>
    <row r="247" spans="1:25" x14ac:dyDescent="0.3">
      <c r="A247">
        <v>9.4</v>
      </c>
      <c r="B247">
        <v>2017</v>
      </c>
      <c r="C247">
        <v>9</v>
      </c>
      <c r="D247">
        <v>12</v>
      </c>
      <c r="E247" t="s">
        <v>43</v>
      </c>
      <c r="F247">
        <v>7</v>
      </c>
      <c r="G247">
        <v>0.14299999999999999</v>
      </c>
      <c r="H247">
        <v>6.2E-2</v>
      </c>
      <c r="I247">
        <v>17.3</v>
      </c>
      <c r="J247">
        <v>4.0999999999999996</v>
      </c>
      <c r="K247">
        <v>2.42</v>
      </c>
      <c r="L247">
        <v>0.59</v>
      </c>
      <c r="M247">
        <v>12.3</v>
      </c>
      <c r="N247">
        <v>2.8</v>
      </c>
      <c r="O247">
        <v>212</v>
      </c>
      <c r="P247">
        <v>276</v>
      </c>
      <c r="Q247">
        <v>297</v>
      </c>
      <c r="R247">
        <v>25</v>
      </c>
      <c r="S247">
        <v>50.4</v>
      </c>
      <c r="T247">
        <v>10.6</v>
      </c>
      <c r="U247">
        <v>0.54</v>
      </c>
      <c r="V247">
        <v>0.04</v>
      </c>
      <c r="W247">
        <v>6.5</v>
      </c>
    </row>
    <row r="248" spans="1:25" x14ac:dyDescent="0.3">
      <c r="A248">
        <v>9.9</v>
      </c>
      <c r="B248">
        <v>2015</v>
      </c>
      <c r="C248">
        <v>9</v>
      </c>
      <c r="D248">
        <v>27</v>
      </c>
      <c r="E248" t="s">
        <v>43</v>
      </c>
      <c r="F248">
        <v>6</v>
      </c>
      <c r="G248">
        <v>0.13900000000000001</v>
      </c>
      <c r="H248">
        <v>7.0000000000000001E-3</v>
      </c>
      <c r="I248">
        <v>12.9</v>
      </c>
      <c r="J248">
        <v>1.3</v>
      </c>
      <c r="K248">
        <v>1.25</v>
      </c>
      <c r="L248">
        <v>0.23</v>
      </c>
      <c r="M248">
        <v>20.2</v>
      </c>
      <c r="N248">
        <v>3.9</v>
      </c>
      <c r="R248">
        <v>20</v>
      </c>
      <c r="S248">
        <v>46.6</v>
      </c>
      <c r="T248">
        <v>11.8</v>
      </c>
      <c r="U248">
        <v>0.54</v>
      </c>
      <c r="V248">
        <v>0.03</v>
      </c>
    </row>
    <row r="249" spans="1:25" x14ac:dyDescent="0.3">
      <c r="A249">
        <v>9.4</v>
      </c>
      <c r="B249">
        <v>2017</v>
      </c>
      <c r="C249">
        <v>9</v>
      </c>
      <c r="D249">
        <v>12</v>
      </c>
      <c r="E249" t="s">
        <v>43</v>
      </c>
      <c r="G249">
        <v>0.13400000000000001</v>
      </c>
      <c r="H249">
        <v>5.1999999999999998E-2</v>
      </c>
      <c r="I249">
        <v>14.6</v>
      </c>
      <c r="J249">
        <v>2.5299999999999998</v>
      </c>
      <c r="K249">
        <v>1.1399999999999999</v>
      </c>
      <c r="L249">
        <v>0.09</v>
      </c>
      <c r="M249">
        <v>21.4</v>
      </c>
      <c r="N249">
        <v>8.6999999999999993</v>
      </c>
      <c r="O249">
        <v>227</v>
      </c>
      <c r="P249">
        <v>283</v>
      </c>
      <c r="Q249">
        <v>300</v>
      </c>
      <c r="R249">
        <v>17</v>
      </c>
      <c r="S249">
        <v>54</v>
      </c>
      <c r="T249">
        <v>4.0999999999999996</v>
      </c>
      <c r="U249">
        <v>0.46</v>
      </c>
      <c r="V249">
        <v>0.02</v>
      </c>
      <c r="W249">
        <v>11.4</v>
      </c>
    </row>
    <row r="250" spans="1:25" x14ac:dyDescent="0.3">
      <c r="A250">
        <v>9.4333333330000002</v>
      </c>
      <c r="B250">
        <v>2015</v>
      </c>
      <c r="C250">
        <v>9</v>
      </c>
      <c r="D250">
        <v>13</v>
      </c>
      <c r="E250" t="s">
        <v>43</v>
      </c>
      <c r="F250">
        <v>13</v>
      </c>
      <c r="G250">
        <v>0.13300000000000001</v>
      </c>
      <c r="H250">
        <v>3.5999999999999997E-2</v>
      </c>
      <c r="I250">
        <v>9.01</v>
      </c>
      <c r="J250">
        <v>1.38</v>
      </c>
      <c r="K250">
        <v>1.1399999999999999</v>
      </c>
      <c r="L250">
        <v>0.16</v>
      </c>
      <c r="M250">
        <v>20.2</v>
      </c>
      <c r="N250">
        <v>2.4</v>
      </c>
      <c r="O250">
        <v>224</v>
      </c>
      <c r="P250">
        <v>279</v>
      </c>
      <c r="Q250">
        <v>301</v>
      </c>
      <c r="R250">
        <v>16</v>
      </c>
      <c r="S250">
        <v>29.6</v>
      </c>
      <c r="T250">
        <v>4.5</v>
      </c>
      <c r="U250">
        <v>2.1800000000000002</v>
      </c>
      <c r="V250">
        <v>0.15</v>
      </c>
      <c r="W250">
        <v>2.2000000000000002</v>
      </c>
      <c r="X250">
        <v>26.2</v>
      </c>
      <c r="Y250">
        <v>2.2999999999999998</v>
      </c>
    </row>
    <row r="251" spans="1:25" x14ac:dyDescent="0.3">
      <c r="A251">
        <v>9.9</v>
      </c>
      <c r="B251">
        <v>2015</v>
      </c>
      <c r="C251">
        <v>9</v>
      </c>
      <c r="D251">
        <v>27</v>
      </c>
      <c r="E251" t="s">
        <v>43</v>
      </c>
      <c r="F251">
        <v>4</v>
      </c>
      <c r="G251">
        <v>0.13100000000000001</v>
      </c>
      <c r="H251">
        <v>0.03</v>
      </c>
      <c r="I251">
        <v>6.97</v>
      </c>
      <c r="J251">
        <v>0.46</v>
      </c>
      <c r="K251">
        <v>1.36</v>
      </c>
      <c r="L251">
        <v>0.09</v>
      </c>
      <c r="M251">
        <v>19.8</v>
      </c>
      <c r="N251">
        <v>4</v>
      </c>
      <c r="O251">
        <v>265</v>
      </c>
      <c r="P251">
        <v>283</v>
      </c>
      <c r="Q251">
        <v>294</v>
      </c>
      <c r="R251">
        <v>35</v>
      </c>
      <c r="S251">
        <v>43.5</v>
      </c>
      <c r="T251">
        <v>8.6</v>
      </c>
      <c r="U251">
        <v>1.06</v>
      </c>
      <c r="V251">
        <v>0.05</v>
      </c>
      <c r="W251">
        <v>7</v>
      </c>
      <c r="X251">
        <v>30.6</v>
      </c>
      <c r="Y251">
        <v>2.4</v>
      </c>
    </row>
    <row r="252" spans="1:25" x14ac:dyDescent="0.3">
      <c r="A252">
        <v>9.4666666670000001</v>
      </c>
      <c r="B252">
        <v>2015</v>
      </c>
      <c r="C252">
        <v>9</v>
      </c>
      <c r="D252">
        <v>14</v>
      </c>
      <c r="E252" t="s">
        <v>43</v>
      </c>
      <c r="F252">
        <v>19</v>
      </c>
      <c r="G252">
        <v>0.129</v>
      </c>
      <c r="H252">
        <v>3.3000000000000002E-2</v>
      </c>
      <c r="I252">
        <v>7.93</v>
      </c>
      <c r="J252">
        <v>1.33</v>
      </c>
      <c r="K252">
        <v>1.32</v>
      </c>
      <c r="L252">
        <v>0.13</v>
      </c>
      <c r="M252">
        <v>21.5</v>
      </c>
      <c r="N252">
        <v>3.2</v>
      </c>
      <c r="O252">
        <v>212</v>
      </c>
      <c r="P252">
        <v>269</v>
      </c>
      <c r="Q252">
        <v>296</v>
      </c>
      <c r="R252">
        <v>26</v>
      </c>
      <c r="S252">
        <v>35.1</v>
      </c>
      <c r="T252">
        <v>5</v>
      </c>
      <c r="U252">
        <v>2.59</v>
      </c>
      <c r="V252">
        <v>0.26</v>
      </c>
      <c r="W252">
        <v>8.4</v>
      </c>
      <c r="X252">
        <v>43.9</v>
      </c>
      <c r="Y252">
        <v>7.9</v>
      </c>
    </row>
    <row r="253" spans="1:25" x14ac:dyDescent="0.3">
      <c r="A253">
        <v>9.5</v>
      </c>
      <c r="B253">
        <v>2015</v>
      </c>
      <c r="C253">
        <v>9</v>
      </c>
      <c r="D253">
        <v>15</v>
      </c>
      <c r="E253" t="s">
        <v>43</v>
      </c>
      <c r="F253">
        <v>7</v>
      </c>
      <c r="G253">
        <v>0.121</v>
      </c>
      <c r="H253">
        <v>4.2000000000000003E-2</v>
      </c>
      <c r="I253">
        <v>10.3</v>
      </c>
      <c r="J253">
        <v>2.9</v>
      </c>
      <c r="K253">
        <v>0.73</v>
      </c>
      <c r="L253">
        <v>0.12</v>
      </c>
      <c r="M253">
        <v>25.9</v>
      </c>
      <c r="N253">
        <v>4.8</v>
      </c>
      <c r="O253">
        <v>204</v>
      </c>
      <c r="P253">
        <v>253</v>
      </c>
      <c r="Q253">
        <v>283</v>
      </c>
      <c r="R253">
        <v>23</v>
      </c>
      <c r="S253">
        <v>54.6</v>
      </c>
      <c r="T253">
        <v>6</v>
      </c>
      <c r="U253">
        <v>1.23</v>
      </c>
      <c r="V253">
        <v>0.08</v>
      </c>
      <c r="W253">
        <v>8.9</v>
      </c>
      <c r="X253">
        <v>24</v>
      </c>
      <c r="Y253">
        <v>3.4</v>
      </c>
    </row>
    <row r="254" spans="1:25" x14ac:dyDescent="0.3">
      <c r="A254">
        <v>9.2666666670000009</v>
      </c>
      <c r="B254">
        <v>2016</v>
      </c>
      <c r="C254">
        <v>9</v>
      </c>
      <c r="D254">
        <v>8</v>
      </c>
      <c r="E254" t="s">
        <v>43</v>
      </c>
      <c r="F254">
        <v>5</v>
      </c>
      <c r="G254">
        <v>0.115</v>
      </c>
      <c r="H254">
        <v>8.9999999999999993E-3</v>
      </c>
      <c r="I254">
        <v>3.34</v>
      </c>
      <c r="J254">
        <v>0.74</v>
      </c>
      <c r="K254">
        <v>1.3</v>
      </c>
      <c r="L254">
        <v>0.09</v>
      </c>
      <c r="M254">
        <v>21.7</v>
      </c>
      <c r="N254">
        <v>3.5</v>
      </c>
      <c r="R254">
        <v>18</v>
      </c>
      <c r="S254">
        <v>67.599999999999994</v>
      </c>
      <c r="T254">
        <v>7.4</v>
      </c>
      <c r="U254">
        <v>0.69</v>
      </c>
      <c r="V254">
        <v>0.04</v>
      </c>
    </row>
    <row r="255" spans="1:25" x14ac:dyDescent="0.3">
      <c r="A255">
        <v>9.9</v>
      </c>
      <c r="B255">
        <v>2015</v>
      </c>
      <c r="C255">
        <v>9</v>
      </c>
      <c r="D255">
        <v>27</v>
      </c>
      <c r="E255" t="s">
        <v>43</v>
      </c>
      <c r="F255">
        <v>7</v>
      </c>
      <c r="G255">
        <v>0.106</v>
      </c>
      <c r="H255">
        <v>2.4E-2</v>
      </c>
      <c r="I255">
        <v>8.2899999999999991</v>
      </c>
      <c r="J255">
        <v>1.4</v>
      </c>
      <c r="K255">
        <v>0.93</v>
      </c>
      <c r="L255">
        <v>0.06</v>
      </c>
      <c r="M255">
        <v>20.3</v>
      </c>
      <c r="N255">
        <v>1.9</v>
      </c>
      <c r="O255">
        <v>237</v>
      </c>
      <c r="P255">
        <v>285</v>
      </c>
      <c r="Q255">
        <v>303</v>
      </c>
      <c r="R255">
        <v>21</v>
      </c>
      <c r="S255">
        <v>43.8</v>
      </c>
      <c r="T255">
        <v>5.6</v>
      </c>
      <c r="U255">
        <v>2.34</v>
      </c>
      <c r="V255">
        <v>7.0000000000000007E-2</v>
      </c>
      <c r="W255">
        <v>2.8</v>
      </c>
      <c r="X255">
        <v>17.100000000000001</v>
      </c>
      <c r="Y255">
        <v>6.1</v>
      </c>
    </row>
    <row r="256" spans="1:25" x14ac:dyDescent="0.3">
      <c r="A256">
        <v>9.4333333330000002</v>
      </c>
      <c r="B256">
        <v>2017</v>
      </c>
      <c r="C256">
        <v>9</v>
      </c>
      <c r="D256">
        <v>13</v>
      </c>
      <c r="E256" t="s">
        <v>43</v>
      </c>
      <c r="F256">
        <v>6</v>
      </c>
      <c r="G256">
        <v>0.10100000000000001</v>
      </c>
      <c r="H256">
        <v>5.8999999999999997E-2</v>
      </c>
      <c r="I256">
        <v>8.76</v>
      </c>
      <c r="J256">
        <v>1.38</v>
      </c>
      <c r="K256">
        <v>1.46</v>
      </c>
      <c r="L256">
        <v>0.37</v>
      </c>
      <c r="M256">
        <v>14.2</v>
      </c>
      <c r="N256">
        <v>4.8</v>
      </c>
      <c r="S256">
        <v>59.8</v>
      </c>
      <c r="T256">
        <v>6</v>
      </c>
      <c r="U256">
        <v>0.38</v>
      </c>
      <c r="V256">
        <v>0.02</v>
      </c>
    </row>
    <row r="257" spans="1:25" x14ac:dyDescent="0.3">
      <c r="A257">
        <v>9.4333333330000002</v>
      </c>
      <c r="B257">
        <v>2015</v>
      </c>
      <c r="C257">
        <v>9</v>
      </c>
      <c r="D257">
        <v>13</v>
      </c>
      <c r="E257" t="s">
        <v>43</v>
      </c>
      <c r="F257">
        <v>8</v>
      </c>
      <c r="G257">
        <v>0.10100000000000001</v>
      </c>
      <c r="H257">
        <v>3.3000000000000002E-2</v>
      </c>
      <c r="I257">
        <v>10.5</v>
      </c>
      <c r="J257">
        <v>0.7</v>
      </c>
      <c r="K257">
        <v>1.18</v>
      </c>
      <c r="L257">
        <v>0.17</v>
      </c>
      <c r="M257">
        <v>22.3</v>
      </c>
      <c r="N257">
        <v>3.3</v>
      </c>
      <c r="O257">
        <v>207</v>
      </c>
      <c r="P257">
        <v>264</v>
      </c>
      <c r="Q257">
        <v>292</v>
      </c>
      <c r="R257">
        <v>27</v>
      </c>
      <c r="S257">
        <v>32.9</v>
      </c>
      <c r="T257">
        <v>4</v>
      </c>
      <c r="U257">
        <v>2.72</v>
      </c>
      <c r="V257">
        <v>0.12</v>
      </c>
      <c r="W257">
        <v>5</v>
      </c>
      <c r="X257">
        <v>28.5</v>
      </c>
      <c r="Y257">
        <v>10.3</v>
      </c>
    </row>
    <row r="258" spans="1:25" x14ac:dyDescent="0.3">
      <c r="A258">
        <v>9.9333333330000002</v>
      </c>
      <c r="B258">
        <v>2015</v>
      </c>
      <c r="C258">
        <v>9</v>
      </c>
      <c r="D258">
        <v>28</v>
      </c>
      <c r="E258" t="s">
        <v>43</v>
      </c>
      <c r="F258">
        <v>9</v>
      </c>
      <c r="G258">
        <v>9.7000000000000003E-2</v>
      </c>
      <c r="H258">
        <v>5.0999999999999997E-2</v>
      </c>
      <c r="I258">
        <v>6.42</v>
      </c>
      <c r="J258">
        <v>1.1000000000000001</v>
      </c>
      <c r="K258">
        <v>0.75</v>
      </c>
      <c r="L258">
        <v>0.25</v>
      </c>
      <c r="M258">
        <v>20.9</v>
      </c>
      <c r="N258">
        <v>4.4000000000000004</v>
      </c>
      <c r="O258">
        <v>224</v>
      </c>
      <c r="P258">
        <v>274</v>
      </c>
      <c r="Q258">
        <v>291</v>
      </c>
      <c r="R258">
        <v>27</v>
      </c>
      <c r="S258">
        <v>38.700000000000003</v>
      </c>
      <c r="T258">
        <v>6.9</v>
      </c>
      <c r="U258">
        <v>1.64</v>
      </c>
      <c r="V258">
        <v>0.18</v>
      </c>
      <c r="W258">
        <v>6.8</v>
      </c>
    </row>
    <row r="259" spans="1:25" x14ac:dyDescent="0.3">
      <c r="A259">
        <v>9.9</v>
      </c>
      <c r="B259">
        <v>2015</v>
      </c>
      <c r="C259">
        <v>9</v>
      </c>
      <c r="D259">
        <v>27</v>
      </c>
      <c r="E259" t="s">
        <v>43</v>
      </c>
      <c r="F259">
        <v>13</v>
      </c>
      <c r="G259">
        <v>0.09</v>
      </c>
      <c r="H259">
        <v>3.3000000000000002E-2</v>
      </c>
      <c r="I259">
        <v>14.1</v>
      </c>
      <c r="J259">
        <v>2.8</v>
      </c>
      <c r="K259">
        <v>0.81</v>
      </c>
      <c r="L259">
        <v>0.16</v>
      </c>
      <c r="M259">
        <v>17.8</v>
      </c>
      <c r="N259">
        <v>4.2</v>
      </c>
      <c r="R259">
        <v>33</v>
      </c>
      <c r="S259">
        <v>55.6</v>
      </c>
      <c r="T259">
        <v>9.6</v>
      </c>
      <c r="U259">
        <v>0.83</v>
      </c>
      <c r="V259">
        <v>0.05</v>
      </c>
    </row>
    <row r="260" spans="1:25" x14ac:dyDescent="0.3">
      <c r="A260">
        <v>9.9333333330000002</v>
      </c>
      <c r="B260">
        <v>2016</v>
      </c>
      <c r="C260">
        <v>9</v>
      </c>
      <c r="D260">
        <v>28</v>
      </c>
      <c r="E260" t="s">
        <v>43</v>
      </c>
      <c r="G260">
        <v>8.1000000000000003E-2</v>
      </c>
      <c r="H260">
        <v>2.8000000000000001E-2</v>
      </c>
      <c r="I260">
        <v>4.54</v>
      </c>
      <c r="J260">
        <v>1.49</v>
      </c>
      <c r="K260">
        <v>0.8</v>
      </c>
      <c r="L260">
        <v>0.15</v>
      </c>
      <c r="M260">
        <v>19.2</v>
      </c>
      <c r="N260">
        <v>5.8</v>
      </c>
      <c r="S260">
        <v>32</v>
      </c>
      <c r="T260">
        <v>2.8</v>
      </c>
      <c r="U260">
        <v>0.62</v>
      </c>
      <c r="V260">
        <v>0.03</v>
      </c>
    </row>
    <row r="261" spans="1:25" x14ac:dyDescent="0.3">
      <c r="A261">
        <v>9.4</v>
      </c>
      <c r="B261">
        <v>2017</v>
      </c>
      <c r="C261">
        <v>9</v>
      </c>
      <c r="D261">
        <v>12</v>
      </c>
      <c r="E261" t="s">
        <v>43</v>
      </c>
      <c r="F261">
        <v>4</v>
      </c>
      <c r="G261">
        <v>7.6999999999999999E-2</v>
      </c>
      <c r="H261">
        <v>3.5000000000000003E-2</v>
      </c>
      <c r="I261">
        <v>8.6199999999999992</v>
      </c>
      <c r="J261">
        <v>2.31</v>
      </c>
      <c r="K261">
        <v>1.51</v>
      </c>
      <c r="L261">
        <v>0.43</v>
      </c>
      <c r="M261">
        <v>12.3</v>
      </c>
      <c r="N261">
        <v>2.2999999999999998</v>
      </c>
      <c r="S261">
        <v>62.3</v>
      </c>
      <c r="T261">
        <v>7.3</v>
      </c>
      <c r="U261">
        <v>0.38</v>
      </c>
      <c r="V261">
        <v>0.02</v>
      </c>
    </row>
    <row r="262" spans="1:25" x14ac:dyDescent="0.3">
      <c r="A262">
        <v>9.4666666670000001</v>
      </c>
      <c r="B262">
        <v>2015</v>
      </c>
      <c r="C262">
        <v>9</v>
      </c>
      <c r="D262">
        <v>14</v>
      </c>
      <c r="E262" t="s">
        <v>43</v>
      </c>
      <c r="F262">
        <v>9</v>
      </c>
      <c r="G262">
        <v>7.1999999999999995E-2</v>
      </c>
      <c r="H262">
        <v>1E-3</v>
      </c>
      <c r="I262">
        <v>7.05</v>
      </c>
      <c r="J262">
        <v>1.08</v>
      </c>
      <c r="K262">
        <v>1.1499999999999999</v>
      </c>
      <c r="L262">
        <v>0.14000000000000001</v>
      </c>
      <c r="M262">
        <v>15</v>
      </c>
      <c r="N262">
        <v>2.1</v>
      </c>
      <c r="S262">
        <v>42.4</v>
      </c>
      <c r="T262">
        <v>13.3</v>
      </c>
      <c r="U262">
        <v>1.33</v>
      </c>
      <c r="V262">
        <v>7.0000000000000007E-2</v>
      </c>
    </row>
    <row r="263" spans="1:25" x14ac:dyDescent="0.3">
      <c r="A263">
        <v>9.9</v>
      </c>
      <c r="B263">
        <v>2015</v>
      </c>
      <c r="C263">
        <v>9</v>
      </c>
      <c r="D263">
        <v>27</v>
      </c>
      <c r="E263" t="s">
        <v>43</v>
      </c>
      <c r="F263">
        <v>7</v>
      </c>
      <c r="G263">
        <v>7.1999999999999995E-2</v>
      </c>
      <c r="H263">
        <v>2.7E-2</v>
      </c>
      <c r="I263">
        <v>5.0199999999999996</v>
      </c>
      <c r="J263">
        <v>2</v>
      </c>
      <c r="K263">
        <v>0.57999999999999996</v>
      </c>
      <c r="L263">
        <v>0.11</v>
      </c>
      <c r="M263">
        <v>22.4</v>
      </c>
      <c r="N263">
        <v>3.2</v>
      </c>
      <c r="O263">
        <v>214</v>
      </c>
      <c r="P263">
        <v>268</v>
      </c>
      <c r="Q263">
        <v>291</v>
      </c>
      <c r="R263">
        <v>18</v>
      </c>
      <c r="S263">
        <v>29.3</v>
      </c>
      <c r="T263">
        <v>1.8</v>
      </c>
      <c r="U263">
        <v>2.76</v>
      </c>
      <c r="V263">
        <v>0.09</v>
      </c>
      <c r="W263">
        <v>8.9</v>
      </c>
      <c r="X263">
        <v>26.8</v>
      </c>
      <c r="Y263">
        <v>9.1</v>
      </c>
    </row>
    <row r="264" spans="1:25" x14ac:dyDescent="0.3">
      <c r="A264">
        <v>9.4333333330000002</v>
      </c>
      <c r="B264">
        <v>2015</v>
      </c>
      <c r="C264">
        <v>9</v>
      </c>
      <c r="D264">
        <v>13</v>
      </c>
      <c r="E264" t="s">
        <v>43</v>
      </c>
      <c r="F264">
        <v>9</v>
      </c>
      <c r="G264">
        <v>6.7000000000000004E-2</v>
      </c>
      <c r="H264">
        <v>0.02</v>
      </c>
      <c r="I264">
        <v>7.58</v>
      </c>
      <c r="J264">
        <v>1.9</v>
      </c>
      <c r="K264">
        <v>0.66</v>
      </c>
      <c r="L264">
        <v>0.16</v>
      </c>
      <c r="M264">
        <v>17.3</v>
      </c>
      <c r="N264">
        <v>5.0999999999999996</v>
      </c>
      <c r="R264">
        <v>22</v>
      </c>
      <c r="S264">
        <v>35.6</v>
      </c>
      <c r="T264">
        <v>3.5</v>
      </c>
      <c r="U264">
        <v>1.1599999999999999</v>
      </c>
      <c r="V264">
        <v>0.65</v>
      </c>
    </row>
    <row r="265" spans="1:25" x14ac:dyDescent="0.3">
      <c r="A265">
        <v>9.4666666670000001</v>
      </c>
      <c r="B265">
        <v>2015</v>
      </c>
      <c r="C265">
        <v>9</v>
      </c>
      <c r="D265">
        <v>14</v>
      </c>
      <c r="E265" t="s">
        <v>43</v>
      </c>
      <c r="F265">
        <v>12</v>
      </c>
      <c r="G265">
        <v>6.6000000000000003E-2</v>
      </c>
      <c r="H265">
        <v>1.6E-2</v>
      </c>
      <c r="I265">
        <v>5.76</v>
      </c>
      <c r="J265">
        <v>1.4</v>
      </c>
      <c r="K265">
        <v>0.59</v>
      </c>
      <c r="L265">
        <v>0.17</v>
      </c>
      <c r="M265">
        <v>20.7</v>
      </c>
      <c r="N265">
        <v>6.1</v>
      </c>
      <c r="O265">
        <v>205</v>
      </c>
      <c r="P265">
        <v>271</v>
      </c>
      <c r="Q265">
        <v>298</v>
      </c>
      <c r="R265">
        <v>28</v>
      </c>
      <c r="S265">
        <v>31.2</v>
      </c>
      <c r="T265">
        <v>5.4</v>
      </c>
      <c r="U265">
        <v>1.9</v>
      </c>
      <c r="V265">
        <v>0.11</v>
      </c>
      <c r="W265">
        <v>7.9</v>
      </c>
    </row>
    <row r="266" spans="1:25" x14ac:dyDescent="0.3">
      <c r="A266">
        <v>9.4666666670000001</v>
      </c>
      <c r="B266">
        <v>2015</v>
      </c>
      <c r="C266">
        <v>9</v>
      </c>
      <c r="D266">
        <v>14</v>
      </c>
      <c r="E266" t="s">
        <v>43</v>
      </c>
      <c r="F266">
        <v>5</v>
      </c>
      <c r="G266">
        <v>6.4000000000000001E-2</v>
      </c>
      <c r="H266">
        <v>1.7000000000000001E-2</v>
      </c>
      <c r="I266">
        <v>10.199999999999999</v>
      </c>
      <c r="J266">
        <v>1.5</v>
      </c>
      <c r="K266">
        <v>0.88</v>
      </c>
      <c r="L266">
        <v>0.14000000000000001</v>
      </c>
      <c r="M266">
        <v>13.4</v>
      </c>
      <c r="N266">
        <v>1</v>
      </c>
      <c r="R266">
        <v>17</v>
      </c>
      <c r="S266">
        <v>57.4</v>
      </c>
      <c r="T266">
        <v>18.7</v>
      </c>
      <c r="U266">
        <v>0.89</v>
      </c>
      <c r="V266">
        <v>0.11</v>
      </c>
    </row>
    <row r="267" spans="1:25" x14ac:dyDescent="0.3">
      <c r="A267">
        <v>9.5</v>
      </c>
      <c r="B267">
        <v>2015</v>
      </c>
      <c r="C267">
        <v>9</v>
      </c>
      <c r="D267">
        <v>15</v>
      </c>
      <c r="E267" t="s">
        <v>43</v>
      </c>
      <c r="F267">
        <v>19</v>
      </c>
      <c r="G267">
        <v>6.2E-2</v>
      </c>
      <c r="H267">
        <v>1.7999999999999999E-2</v>
      </c>
      <c r="I267">
        <v>9.26</v>
      </c>
      <c r="J267">
        <v>3.5</v>
      </c>
      <c r="K267">
        <v>0.63</v>
      </c>
      <c r="L267">
        <v>0.1</v>
      </c>
      <c r="M267">
        <v>13.9</v>
      </c>
      <c r="N267">
        <v>1.9</v>
      </c>
      <c r="O267">
        <v>221</v>
      </c>
      <c r="P267">
        <v>275</v>
      </c>
      <c r="Q267">
        <v>296</v>
      </c>
      <c r="R267">
        <v>20</v>
      </c>
      <c r="S267">
        <v>28.5</v>
      </c>
      <c r="T267">
        <v>3.4</v>
      </c>
      <c r="U267">
        <v>2.86</v>
      </c>
      <c r="V267">
        <v>0.14000000000000001</v>
      </c>
      <c r="W267">
        <v>6.4</v>
      </c>
      <c r="X267">
        <v>19.600000000000001</v>
      </c>
      <c r="Y267">
        <v>5.5</v>
      </c>
    </row>
    <row r="268" spans="1:25" x14ac:dyDescent="0.3">
      <c r="A268">
        <v>9.4333333330000002</v>
      </c>
      <c r="B268">
        <v>2015</v>
      </c>
      <c r="C268">
        <v>9</v>
      </c>
      <c r="D268">
        <v>13</v>
      </c>
      <c r="E268" t="s">
        <v>43</v>
      </c>
      <c r="F268">
        <v>11</v>
      </c>
      <c r="G268">
        <v>6.0999999999999999E-2</v>
      </c>
      <c r="H268">
        <v>1.7000000000000001E-2</v>
      </c>
      <c r="I268">
        <v>10.1</v>
      </c>
      <c r="J268">
        <v>2.2999999999999998</v>
      </c>
      <c r="K268">
        <v>1.03</v>
      </c>
      <c r="L268">
        <v>0.44</v>
      </c>
      <c r="M268">
        <v>12.2</v>
      </c>
      <c r="N268">
        <v>2.1</v>
      </c>
      <c r="O268">
        <v>194</v>
      </c>
      <c r="P268">
        <v>252</v>
      </c>
      <c r="Q268">
        <v>285</v>
      </c>
      <c r="S268">
        <v>35.299999999999997</v>
      </c>
      <c r="T268">
        <v>14.2</v>
      </c>
      <c r="U268">
        <v>1.3</v>
      </c>
      <c r="V268">
        <v>0.2</v>
      </c>
      <c r="W268">
        <v>7.2</v>
      </c>
      <c r="X268">
        <v>29.9</v>
      </c>
    </row>
    <row r="269" spans="1:25" x14ac:dyDescent="0.3">
      <c r="A269">
        <v>9.4333333330000002</v>
      </c>
      <c r="B269">
        <v>2015</v>
      </c>
      <c r="C269">
        <v>9</v>
      </c>
      <c r="D269">
        <v>13</v>
      </c>
      <c r="E269" t="s">
        <v>43</v>
      </c>
      <c r="F269">
        <v>24</v>
      </c>
      <c r="G269">
        <v>0.06</v>
      </c>
      <c r="H269">
        <v>3.1E-2</v>
      </c>
      <c r="I269">
        <v>10.1</v>
      </c>
      <c r="J269">
        <v>1.7</v>
      </c>
      <c r="K269">
        <v>0.93</v>
      </c>
      <c r="L269">
        <v>0.19</v>
      </c>
      <c r="M269">
        <v>11.9</v>
      </c>
      <c r="N269">
        <v>3.3</v>
      </c>
      <c r="O269">
        <v>231</v>
      </c>
      <c r="P269">
        <v>284</v>
      </c>
      <c r="Q269">
        <v>304</v>
      </c>
      <c r="R269">
        <v>22</v>
      </c>
      <c r="S269">
        <v>53.2</v>
      </c>
      <c r="T269">
        <v>6.2</v>
      </c>
      <c r="U269">
        <v>4.1900000000000004</v>
      </c>
      <c r="V269">
        <v>0.08</v>
      </c>
      <c r="W269">
        <v>8.6999999999999993</v>
      </c>
      <c r="X269">
        <v>52.7</v>
      </c>
      <c r="Y269">
        <v>3</v>
      </c>
    </row>
    <row r="270" spans="1:25" x14ac:dyDescent="0.3">
      <c r="A270">
        <v>9.1999999999999993</v>
      </c>
      <c r="B270">
        <v>2016</v>
      </c>
      <c r="C270">
        <v>9</v>
      </c>
      <c r="D270">
        <v>6</v>
      </c>
      <c r="E270" t="s">
        <v>43</v>
      </c>
      <c r="F270">
        <v>11</v>
      </c>
      <c r="G270">
        <v>3.6999999999999998E-2</v>
      </c>
      <c r="H270">
        <v>1.6E-2</v>
      </c>
      <c r="I270">
        <v>2.85</v>
      </c>
      <c r="J270">
        <v>1.19</v>
      </c>
      <c r="K270">
        <v>0.44</v>
      </c>
      <c r="L270">
        <v>0.1</v>
      </c>
      <c r="M270">
        <v>17.399999999999999</v>
      </c>
      <c r="N270">
        <v>3.2</v>
      </c>
      <c r="O270">
        <v>198</v>
      </c>
      <c r="P270">
        <v>247</v>
      </c>
      <c r="Q270">
        <v>286</v>
      </c>
      <c r="R270">
        <v>19</v>
      </c>
      <c r="S270">
        <v>68.7</v>
      </c>
      <c r="T270">
        <v>10.3</v>
      </c>
      <c r="U270">
        <v>0.74</v>
      </c>
      <c r="V270">
        <v>0.04</v>
      </c>
      <c r="W270">
        <v>2.6</v>
      </c>
    </row>
    <row r="271" spans="1:25" x14ac:dyDescent="0.3">
      <c r="A271">
        <v>9.2333333329999991</v>
      </c>
      <c r="B271">
        <v>2016</v>
      </c>
      <c r="C271">
        <v>9</v>
      </c>
      <c r="D271">
        <v>7</v>
      </c>
      <c r="E271" t="s">
        <v>43</v>
      </c>
      <c r="F271">
        <v>10</v>
      </c>
      <c r="G271">
        <v>3.5000000000000003E-2</v>
      </c>
      <c r="H271">
        <v>1.6E-2</v>
      </c>
      <c r="I271">
        <v>2.83</v>
      </c>
      <c r="J271">
        <v>2.15</v>
      </c>
      <c r="K271">
        <v>0.33</v>
      </c>
      <c r="L271">
        <v>0.03</v>
      </c>
      <c r="M271">
        <v>25</v>
      </c>
      <c r="N271">
        <v>13.7</v>
      </c>
      <c r="R271">
        <v>23</v>
      </c>
      <c r="S271">
        <v>41.3</v>
      </c>
      <c r="T271">
        <v>5.3</v>
      </c>
      <c r="U271">
        <v>1.08</v>
      </c>
      <c r="V271">
        <v>0.06</v>
      </c>
    </row>
    <row r="272" spans="1:25" x14ac:dyDescent="0.3">
      <c r="A272">
        <v>9.9333333330000002</v>
      </c>
      <c r="B272">
        <v>2016</v>
      </c>
      <c r="C272">
        <v>9</v>
      </c>
      <c r="D272">
        <v>28</v>
      </c>
      <c r="E272" t="s">
        <v>43</v>
      </c>
      <c r="F272">
        <v>10</v>
      </c>
      <c r="G272">
        <v>0.03</v>
      </c>
      <c r="H272">
        <v>1.4E-2</v>
      </c>
      <c r="I272">
        <v>1.68</v>
      </c>
      <c r="J272">
        <v>0.2</v>
      </c>
      <c r="K272">
        <v>0.33</v>
      </c>
      <c r="L272">
        <v>0.06</v>
      </c>
      <c r="M272">
        <v>16.7</v>
      </c>
      <c r="N272">
        <v>4.5999999999999996</v>
      </c>
      <c r="S272">
        <v>42.5</v>
      </c>
      <c r="T272">
        <v>4.0999999999999996</v>
      </c>
      <c r="U272">
        <v>1.18</v>
      </c>
      <c r="V272">
        <v>0.05</v>
      </c>
    </row>
    <row r="273" spans="1:25" x14ac:dyDescent="0.3">
      <c r="A273">
        <v>9.1</v>
      </c>
      <c r="B273">
        <v>2016</v>
      </c>
      <c r="C273">
        <v>9</v>
      </c>
      <c r="D273">
        <v>3</v>
      </c>
      <c r="E273" t="s">
        <v>43</v>
      </c>
      <c r="X273">
        <v>1.6</v>
      </c>
      <c r="Y273">
        <v>1.2</v>
      </c>
    </row>
    <row r="274" spans="1:25" x14ac:dyDescent="0.3">
      <c r="A274">
        <v>9.8000000000000007</v>
      </c>
      <c r="B274">
        <v>2016</v>
      </c>
      <c r="C274">
        <v>9</v>
      </c>
      <c r="D274">
        <v>24</v>
      </c>
      <c r="E274" t="s">
        <v>43</v>
      </c>
      <c r="X274">
        <v>11.2</v>
      </c>
      <c r="Y274">
        <v>5</v>
      </c>
    </row>
    <row r="275" spans="1:25" x14ac:dyDescent="0.3">
      <c r="A275">
        <v>9.9</v>
      </c>
      <c r="B275">
        <v>2016</v>
      </c>
      <c r="C275">
        <v>9</v>
      </c>
      <c r="D275">
        <v>27</v>
      </c>
      <c r="E275" t="s">
        <v>43</v>
      </c>
      <c r="X275">
        <v>15.5</v>
      </c>
      <c r="Y275">
        <v>4.5</v>
      </c>
    </row>
    <row r="276" spans="1:25" x14ac:dyDescent="0.3">
      <c r="A276">
        <v>9.3666666670000005</v>
      </c>
      <c r="B276">
        <v>2016</v>
      </c>
      <c r="C276">
        <v>9</v>
      </c>
      <c r="D276">
        <v>11</v>
      </c>
      <c r="E276" t="s">
        <v>43</v>
      </c>
      <c r="X276">
        <v>0.4</v>
      </c>
      <c r="Y276">
        <v>0.9</v>
      </c>
    </row>
    <row r="277" spans="1:25" x14ac:dyDescent="0.3">
      <c r="A277">
        <v>9.8333333330000006</v>
      </c>
      <c r="B277">
        <v>2016</v>
      </c>
      <c r="C277">
        <v>9</v>
      </c>
      <c r="D277">
        <v>25</v>
      </c>
      <c r="E277" t="s">
        <v>43</v>
      </c>
      <c r="X277">
        <v>10.3</v>
      </c>
      <c r="Y277">
        <v>3.4</v>
      </c>
    </row>
    <row r="278" spans="1:25" x14ac:dyDescent="0.3">
      <c r="A278">
        <v>9.9333333330000002</v>
      </c>
      <c r="B278">
        <v>2016</v>
      </c>
      <c r="C278">
        <v>9</v>
      </c>
      <c r="D278">
        <v>28</v>
      </c>
      <c r="E278" t="s">
        <v>43</v>
      </c>
      <c r="X278">
        <v>42.9</v>
      </c>
      <c r="Y278">
        <v>8</v>
      </c>
    </row>
    <row r="279" spans="1:25" x14ac:dyDescent="0.3">
      <c r="A279">
        <v>9.7333333329999991</v>
      </c>
      <c r="B279">
        <v>2016</v>
      </c>
      <c r="C279">
        <v>9</v>
      </c>
      <c r="D279">
        <v>22</v>
      </c>
      <c r="E279" t="s">
        <v>43</v>
      </c>
      <c r="X279">
        <v>2.2000000000000002</v>
      </c>
      <c r="Y279">
        <v>3.6</v>
      </c>
    </row>
    <row r="280" spans="1:25" x14ac:dyDescent="0.3">
      <c r="A280">
        <v>9.2333333329999991</v>
      </c>
      <c r="B280">
        <v>2015</v>
      </c>
      <c r="C280">
        <v>9</v>
      </c>
      <c r="D280">
        <v>7</v>
      </c>
      <c r="E280" t="s">
        <v>44</v>
      </c>
      <c r="G280">
        <v>0.221</v>
      </c>
      <c r="H280">
        <v>0.114</v>
      </c>
      <c r="I280">
        <v>12.2</v>
      </c>
      <c r="J280">
        <v>1.8</v>
      </c>
      <c r="K280">
        <v>1.1399999999999999</v>
      </c>
      <c r="L280">
        <v>0.22</v>
      </c>
      <c r="M280">
        <v>30.2</v>
      </c>
      <c r="N280">
        <v>9.6</v>
      </c>
      <c r="O280">
        <v>241</v>
      </c>
      <c r="P280">
        <v>291</v>
      </c>
      <c r="Q280">
        <v>309</v>
      </c>
      <c r="R280">
        <v>22</v>
      </c>
      <c r="S280">
        <v>49.1</v>
      </c>
      <c r="T280">
        <v>2</v>
      </c>
      <c r="U280">
        <v>3.25</v>
      </c>
      <c r="V280">
        <v>0.06</v>
      </c>
      <c r="W280">
        <v>5.0999999999999996</v>
      </c>
    </row>
    <row r="281" spans="1:25" x14ac:dyDescent="0.3">
      <c r="A281">
        <v>9.2333333329999991</v>
      </c>
      <c r="B281">
        <v>2015</v>
      </c>
      <c r="C281">
        <v>9</v>
      </c>
      <c r="D281">
        <v>7</v>
      </c>
      <c r="E281" t="s">
        <v>44</v>
      </c>
      <c r="G281">
        <v>0.11700000000000001</v>
      </c>
      <c r="H281">
        <v>5.8999999999999997E-2</v>
      </c>
      <c r="I281">
        <v>12.1</v>
      </c>
      <c r="J281">
        <v>3.9</v>
      </c>
      <c r="K281">
        <v>1.27</v>
      </c>
      <c r="L281">
        <v>0.47</v>
      </c>
      <c r="M281">
        <v>15.4</v>
      </c>
      <c r="N281">
        <v>4.3</v>
      </c>
      <c r="O281">
        <v>214</v>
      </c>
      <c r="P281">
        <v>271</v>
      </c>
      <c r="Q281">
        <v>296</v>
      </c>
      <c r="R281">
        <v>20</v>
      </c>
      <c r="S281">
        <v>50.8</v>
      </c>
      <c r="T281">
        <v>15</v>
      </c>
      <c r="U281">
        <v>2.14</v>
      </c>
      <c r="V281">
        <v>0.36</v>
      </c>
      <c r="W281">
        <v>4.9000000000000004</v>
      </c>
      <c r="X281">
        <v>40.700000000000003</v>
      </c>
      <c r="Y281">
        <v>1.7</v>
      </c>
    </row>
    <row r="282" spans="1:25" x14ac:dyDescent="0.3">
      <c r="A282">
        <v>9.2666666670000009</v>
      </c>
      <c r="B282">
        <v>2015</v>
      </c>
      <c r="C282">
        <v>9</v>
      </c>
      <c r="D282">
        <v>8</v>
      </c>
      <c r="E282" t="s">
        <v>44</v>
      </c>
      <c r="G282">
        <v>0.109</v>
      </c>
      <c r="H282">
        <v>2.5000000000000001E-2</v>
      </c>
      <c r="I282">
        <v>12.3</v>
      </c>
      <c r="J282">
        <v>3.3</v>
      </c>
      <c r="K282">
        <v>1.1200000000000001</v>
      </c>
      <c r="L282">
        <v>0.11</v>
      </c>
      <c r="M282">
        <v>17.600000000000001</v>
      </c>
      <c r="N282">
        <v>4.7</v>
      </c>
      <c r="O282">
        <v>219</v>
      </c>
      <c r="P282">
        <v>287</v>
      </c>
      <c r="Q282">
        <v>309</v>
      </c>
      <c r="R282">
        <v>23</v>
      </c>
      <c r="S282">
        <v>49.5</v>
      </c>
      <c r="T282">
        <v>22.8</v>
      </c>
      <c r="U282">
        <v>1.57</v>
      </c>
      <c r="V282">
        <v>0.32</v>
      </c>
      <c r="W282">
        <v>2.9</v>
      </c>
      <c r="X282">
        <v>23.9</v>
      </c>
      <c r="Y282">
        <v>7.5</v>
      </c>
    </row>
    <row r="283" spans="1:25" x14ac:dyDescent="0.3">
      <c r="A283">
        <v>9.2666666670000009</v>
      </c>
      <c r="B283">
        <v>2015</v>
      </c>
      <c r="C283">
        <v>9</v>
      </c>
      <c r="D283">
        <v>8</v>
      </c>
      <c r="E283" t="s">
        <v>44</v>
      </c>
      <c r="G283">
        <v>0.108</v>
      </c>
      <c r="H283">
        <v>3.5000000000000003E-2</v>
      </c>
      <c r="I283">
        <v>13.2</v>
      </c>
      <c r="J283">
        <v>1.4</v>
      </c>
      <c r="K283">
        <v>1.1200000000000001</v>
      </c>
      <c r="L283">
        <v>0.14000000000000001</v>
      </c>
      <c r="M283">
        <v>15.4</v>
      </c>
      <c r="N283">
        <v>3.1</v>
      </c>
      <c r="O283">
        <v>225</v>
      </c>
      <c r="P283">
        <v>287</v>
      </c>
      <c r="Q283">
        <v>306</v>
      </c>
      <c r="R283">
        <v>23</v>
      </c>
      <c r="S283">
        <v>43.1</v>
      </c>
      <c r="T283">
        <v>9</v>
      </c>
      <c r="U283">
        <v>4.96</v>
      </c>
      <c r="V283">
        <v>0.67</v>
      </c>
      <c r="W283">
        <v>7.1</v>
      </c>
      <c r="X283">
        <v>25.5</v>
      </c>
      <c r="Y283">
        <v>5.7</v>
      </c>
    </row>
    <row r="284" spans="1:25" x14ac:dyDescent="0.3">
      <c r="A284">
        <v>9.2666666670000009</v>
      </c>
      <c r="B284">
        <v>2015</v>
      </c>
      <c r="C284">
        <v>9</v>
      </c>
      <c r="D284">
        <v>8</v>
      </c>
      <c r="E284" t="s">
        <v>44</v>
      </c>
      <c r="G284">
        <v>0.1</v>
      </c>
      <c r="H284">
        <v>6.3E-2</v>
      </c>
      <c r="I284">
        <v>10.9</v>
      </c>
      <c r="J284">
        <v>1.3</v>
      </c>
      <c r="K284">
        <v>0.66</v>
      </c>
      <c r="L284">
        <v>0.15</v>
      </c>
      <c r="M284">
        <v>21.8</v>
      </c>
      <c r="N284">
        <v>9.6999999999999993</v>
      </c>
      <c r="O284">
        <v>243</v>
      </c>
      <c r="P284">
        <v>290</v>
      </c>
      <c r="Q284">
        <v>311</v>
      </c>
      <c r="R284">
        <v>17</v>
      </c>
      <c r="S284">
        <v>40.200000000000003</v>
      </c>
      <c r="T284">
        <v>6.4</v>
      </c>
      <c r="U284">
        <v>2.1800000000000002</v>
      </c>
      <c r="V284">
        <v>0.15</v>
      </c>
      <c r="W284">
        <v>7.1</v>
      </c>
      <c r="X284">
        <v>12.3</v>
      </c>
      <c r="Y284">
        <v>3.4</v>
      </c>
    </row>
    <row r="285" spans="1:25" x14ac:dyDescent="0.3">
      <c r="A285">
        <v>9.2333333329999991</v>
      </c>
      <c r="B285">
        <v>2015</v>
      </c>
      <c r="C285">
        <v>9</v>
      </c>
      <c r="D285">
        <v>7</v>
      </c>
      <c r="E285" t="s">
        <v>44</v>
      </c>
      <c r="G285">
        <v>0.09</v>
      </c>
      <c r="H285">
        <v>5.5E-2</v>
      </c>
      <c r="I285">
        <v>8</v>
      </c>
      <c r="J285">
        <v>3.8</v>
      </c>
      <c r="K285">
        <v>0.94</v>
      </c>
      <c r="L285">
        <v>0.44</v>
      </c>
      <c r="M285">
        <v>18.3</v>
      </c>
      <c r="N285">
        <v>5.8</v>
      </c>
      <c r="O285">
        <v>228</v>
      </c>
      <c r="P285">
        <v>279</v>
      </c>
      <c r="Q285">
        <v>309</v>
      </c>
      <c r="R285">
        <v>18</v>
      </c>
      <c r="S285">
        <v>38</v>
      </c>
      <c r="T285">
        <v>15.5</v>
      </c>
      <c r="U285">
        <v>3.33</v>
      </c>
      <c r="V285">
        <v>0.63</v>
      </c>
      <c r="W285">
        <v>9</v>
      </c>
      <c r="X285">
        <v>50.4</v>
      </c>
      <c r="Y285">
        <v>7.9</v>
      </c>
    </row>
    <row r="286" spans="1:25" x14ac:dyDescent="0.3">
      <c r="A286">
        <v>9.2333333329999991</v>
      </c>
      <c r="B286">
        <v>2015</v>
      </c>
      <c r="C286">
        <v>9</v>
      </c>
      <c r="D286">
        <v>7</v>
      </c>
      <c r="E286" t="s">
        <v>44</v>
      </c>
      <c r="G286">
        <v>8.5999999999999993E-2</v>
      </c>
      <c r="H286">
        <v>2.5000000000000001E-2</v>
      </c>
      <c r="I286">
        <v>7.64</v>
      </c>
      <c r="J286">
        <v>2.6</v>
      </c>
      <c r="K286">
        <v>0.94</v>
      </c>
      <c r="L286">
        <v>0.1</v>
      </c>
      <c r="M286">
        <v>18.2</v>
      </c>
      <c r="N286">
        <v>2.6</v>
      </c>
      <c r="R286">
        <v>24</v>
      </c>
      <c r="S286">
        <v>53.2</v>
      </c>
      <c r="T286">
        <v>19.8</v>
      </c>
      <c r="U286">
        <v>1</v>
      </c>
      <c r="V286">
        <v>0.12</v>
      </c>
    </row>
    <row r="287" spans="1:25" x14ac:dyDescent="0.3">
      <c r="A287">
        <v>9.2666666670000009</v>
      </c>
      <c r="B287">
        <v>2015</v>
      </c>
      <c r="C287">
        <v>9</v>
      </c>
      <c r="D287">
        <v>8</v>
      </c>
      <c r="E287" t="s">
        <v>44</v>
      </c>
      <c r="G287">
        <v>8.2000000000000003E-2</v>
      </c>
      <c r="H287">
        <v>2.5000000000000001E-2</v>
      </c>
      <c r="I287">
        <v>9.51</v>
      </c>
      <c r="J287">
        <v>2.11</v>
      </c>
      <c r="K287">
        <v>1.02</v>
      </c>
      <c r="L287">
        <v>0.15</v>
      </c>
      <c r="M287">
        <v>16.3</v>
      </c>
      <c r="N287">
        <v>3.2</v>
      </c>
      <c r="O287">
        <v>222</v>
      </c>
      <c r="P287">
        <v>275</v>
      </c>
      <c r="Q287">
        <v>296</v>
      </c>
      <c r="R287">
        <v>30</v>
      </c>
      <c r="S287">
        <v>37.1</v>
      </c>
      <c r="T287">
        <v>1.5</v>
      </c>
      <c r="U287">
        <v>4.26</v>
      </c>
      <c r="V287">
        <v>7.0000000000000007E-2</v>
      </c>
      <c r="W287">
        <v>8.1</v>
      </c>
      <c r="X287">
        <v>60.4</v>
      </c>
      <c r="Y287">
        <v>3.1</v>
      </c>
    </row>
    <row r="288" spans="1:25" x14ac:dyDescent="0.3">
      <c r="A288">
        <v>10.233333330000001</v>
      </c>
      <c r="B288">
        <v>2019</v>
      </c>
      <c r="C288">
        <v>10</v>
      </c>
      <c r="D288">
        <v>7</v>
      </c>
      <c r="E288" t="s">
        <v>48</v>
      </c>
      <c r="F288">
        <v>15</v>
      </c>
      <c r="G288">
        <v>0.16400000000000001</v>
      </c>
      <c r="H288">
        <v>5.0999999999999997E-2</v>
      </c>
      <c r="I288">
        <v>22.8</v>
      </c>
      <c r="J288">
        <v>3.06</v>
      </c>
      <c r="K288">
        <v>1.65</v>
      </c>
      <c r="L288">
        <v>0.18</v>
      </c>
      <c r="M288">
        <v>16.5</v>
      </c>
      <c r="N288">
        <v>4</v>
      </c>
      <c r="S288">
        <v>43</v>
      </c>
      <c r="T288">
        <v>4.5999999999999996</v>
      </c>
      <c r="U288">
        <v>0.47</v>
      </c>
      <c r="V288">
        <v>0.02</v>
      </c>
    </row>
    <row r="289" spans="1:25" x14ac:dyDescent="0.3">
      <c r="A289">
        <v>10.233333330000001</v>
      </c>
      <c r="B289">
        <v>2019</v>
      </c>
      <c r="C289">
        <v>10</v>
      </c>
      <c r="D289">
        <v>7</v>
      </c>
      <c r="E289" t="s">
        <v>48</v>
      </c>
      <c r="F289">
        <v>17</v>
      </c>
      <c r="G289">
        <v>0.157</v>
      </c>
      <c r="H289">
        <v>7.0000000000000001E-3</v>
      </c>
      <c r="I289">
        <v>10.8</v>
      </c>
      <c r="J289">
        <v>1.49</v>
      </c>
      <c r="K289">
        <v>1.22</v>
      </c>
      <c r="L289">
        <v>7.0000000000000007E-2</v>
      </c>
      <c r="M289">
        <v>22.6</v>
      </c>
      <c r="N289">
        <v>1.8</v>
      </c>
      <c r="R289">
        <v>34</v>
      </c>
      <c r="S289">
        <v>41.5</v>
      </c>
      <c r="T289">
        <v>5.8</v>
      </c>
      <c r="U289">
        <v>0.45</v>
      </c>
      <c r="V289">
        <v>0.03</v>
      </c>
    </row>
    <row r="290" spans="1:25" x14ac:dyDescent="0.3">
      <c r="A290">
        <v>10.233333330000001</v>
      </c>
      <c r="B290">
        <v>2019</v>
      </c>
      <c r="C290">
        <v>10</v>
      </c>
      <c r="D290">
        <v>7</v>
      </c>
      <c r="E290" t="s">
        <v>48</v>
      </c>
      <c r="F290">
        <v>17</v>
      </c>
      <c r="G290">
        <v>0.14000000000000001</v>
      </c>
      <c r="H290">
        <v>0.04</v>
      </c>
      <c r="I290">
        <v>14.7</v>
      </c>
      <c r="J290">
        <v>1.44</v>
      </c>
      <c r="K290">
        <v>1.21</v>
      </c>
      <c r="L290">
        <v>0.14000000000000001</v>
      </c>
      <c r="M290">
        <v>18.399999999999999</v>
      </c>
      <c r="N290">
        <v>4.4000000000000004</v>
      </c>
      <c r="R290">
        <v>47</v>
      </c>
      <c r="S290">
        <v>47.1</v>
      </c>
      <c r="T290">
        <v>3</v>
      </c>
      <c r="U290">
        <v>1.49</v>
      </c>
      <c r="V290">
        <v>0.02</v>
      </c>
      <c r="X290">
        <v>27.4</v>
      </c>
      <c r="Y290">
        <v>6.7</v>
      </c>
    </row>
    <row r="291" spans="1:25" x14ac:dyDescent="0.3">
      <c r="A291">
        <v>10.233333330000001</v>
      </c>
      <c r="B291">
        <v>2019</v>
      </c>
      <c r="C291">
        <v>10</v>
      </c>
      <c r="D291">
        <v>7</v>
      </c>
      <c r="E291" t="s">
        <v>48</v>
      </c>
      <c r="G291">
        <v>8.4000000000000005E-2</v>
      </c>
      <c r="H291">
        <v>2.1000000000000001E-2</v>
      </c>
      <c r="I291">
        <v>7.62</v>
      </c>
      <c r="J291">
        <v>0.62</v>
      </c>
      <c r="K291">
        <v>0.92</v>
      </c>
      <c r="L291">
        <v>0.06</v>
      </c>
      <c r="M291">
        <v>18.3</v>
      </c>
      <c r="N291">
        <v>5.7</v>
      </c>
      <c r="S291">
        <v>54.7</v>
      </c>
      <c r="T291">
        <v>8.1</v>
      </c>
      <c r="U291">
        <v>0.43</v>
      </c>
      <c r="V291">
        <v>0.03</v>
      </c>
    </row>
    <row r="292" spans="1:25" x14ac:dyDescent="0.3">
      <c r="A292">
        <v>10.3</v>
      </c>
      <c r="B292">
        <v>2014</v>
      </c>
      <c r="C292">
        <v>10</v>
      </c>
      <c r="D292">
        <v>9</v>
      </c>
      <c r="E292" t="s">
        <v>43</v>
      </c>
      <c r="G292">
        <v>0.42499999999999999</v>
      </c>
      <c r="H292">
        <v>0.222</v>
      </c>
      <c r="I292">
        <v>17.5</v>
      </c>
      <c r="J292">
        <v>8.4</v>
      </c>
      <c r="K292">
        <v>2.62</v>
      </c>
      <c r="L292">
        <v>0.36</v>
      </c>
      <c r="M292">
        <v>31</v>
      </c>
      <c r="N292">
        <v>15.5</v>
      </c>
      <c r="O292">
        <v>213</v>
      </c>
      <c r="P292">
        <v>279</v>
      </c>
      <c r="Q292">
        <v>300</v>
      </c>
      <c r="R292">
        <v>17</v>
      </c>
      <c r="S292">
        <v>84</v>
      </c>
      <c r="T292">
        <v>39.4</v>
      </c>
      <c r="U292">
        <v>1.39</v>
      </c>
      <c r="V292">
        <v>0.3</v>
      </c>
      <c r="W292">
        <v>6.9</v>
      </c>
    </row>
    <row r="293" spans="1:25" x14ac:dyDescent="0.3">
      <c r="A293">
        <v>10.66666667</v>
      </c>
      <c r="B293">
        <v>2015</v>
      </c>
      <c r="C293">
        <v>10</v>
      </c>
      <c r="D293">
        <v>20</v>
      </c>
      <c r="E293" t="s">
        <v>43</v>
      </c>
      <c r="F293">
        <v>6</v>
      </c>
      <c r="G293">
        <v>0.29199999999999998</v>
      </c>
      <c r="H293">
        <v>0.02</v>
      </c>
      <c r="I293">
        <v>19.100000000000001</v>
      </c>
      <c r="J293">
        <v>5.6</v>
      </c>
      <c r="K293">
        <v>2.4</v>
      </c>
      <c r="L293">
        <v>0.05</v>
      </c>
      <c r="M293">
        <v>20.9</v>
      </c>
      <c r="N293">
        <v>1.1000000000000001</v>
      </c>
      <c r="O293">
        <v>247</v>
      </c>
      <c r="P293">
        <v>292</v>
      </c>
      <c r="Q293">
        <v>314</v>
      </c>
      <c r="R293">
        <v>27</v>
      </c>
      <c r="S293">
        <v>58.8</v>
      </c>
      <c r="T293">
        <v>6.4</v>
      </c>
      <c r="U293">
        <v>3.6</v>
      </c>
      <c r="V293">
        <v>0.13</v>
      </c>
      <c r="W293">
        <v>7.8</v>
      </c>
      <c r="X293">
        <v>41.9</v>
      </c>
      <c r="Y293">
        <v>10.1</v>
      </c>
    </row>
    <row r="294" spans="1:25" x14ac:dyDescent="0.3">
      <c r="A294">
        <v>10.3</v>
      </c>
      <c r="B294">
        <v>2014</v>
      </c>
      <c r="C294">
        <v>10</v>
      </c>
      <c r="D294">
        <v>9</v>
      </c>
      <c r="E294" t="s">
        <v>43</v>
      </c>
      <c r="G294">
        <v>0.23100000000000001</v>
      </c>
      <c r="H294">
        <v>0.108</v>
      </c>
      <c r="I294">
        <v>10.199999999999999</v>
      </c>
      <c r="J294">
        <v>6.7</v>
      </c>
      <c r="K294">
        <v>1.35</v>
      </c>
      <c r="L294">
        <v>0.56000000000000005</v>
      </c>
      <c r="M294">
        <v>28.7</v>
      </c>
      <c r="N294">
        <v>4.5999999999999996</v>
      </c>
      <c r="S294">
        <v>34.700000000000003</v>
      </c>
      <c r="T294">
        <v>13.4</v>
      </c>
      <c r="U294">
        <v>1.02</v>
      </c>
      <c r="V294">
        <v>0.14000000000000001</v>
      </c>
    </row>
    <row r="295" spans="1:25" x14ac:dyDescent="0.3">
      <c r="A295">
        <v>10.16666667</v>
      </c>
      <c r="B295">
        <v>2014</v>
      </c>
      <c r="C295">
        <v>10</v>
      </c>
      <c r="D295">
        <v>5</v>
      </c>
      <c r="E295" t="s">
        <v>43</v>
      </c>
      <c r="G295">
        <v>0.20699999999999999</v>
      </c>
      <c r="H295">
        <v>8.7999999999999995E-2</v>
      </c>
      <c r="I295">
        <v>10.6</v>
      </c>
      <c r="J295">
        <v>1.3</v>
      </c>
      <c r="K295">
        <v>1.5</v>
      </c>
      <c r="L295">
        <v>0.53</v>
      </c>
      <c r="M295">
        <v>25.5</v>
      </c>
      <c r="N295">
        <v>3.2</v>
      </c>
      <c r="S295">
        <v>69</v>
      </c>
      <c r="T295">
        <v>13.2</v>
      </c>
      <c r="U295">
        <v>0.87</v>
      </c>
      <c r="V295">
        <v>7.0000000000000007E-2</v>
      </c>
    </row>
    <row r="296" spans="1:25" x14ac:dyDescent="0.3">
      <c r="A296">
        <v>10.7</v>
      </c>
      <c r="B296">
        <v>2015</v>
      </c>
      <c r="C296">
        <v>10</v>
      </c>
      <c r="D296">
        <v>21</v>
      </c>
      <c r="E296" t="s">
        <v>43</v>
      </c>
      <c r="F296">
        <v>19</v>
      </c>
      <c r="G296">
        <v>0.19800000000000001</v>
      </c>
      <c r="H296">
        <v>4.2999999999999997E-2</v>
      </c>
      <c r="I296">
        <v>16.600000000000001</v>
      </c>
      <c r="J296">
        <v>5.3</v>
      </c>
      <c r="K296">
        <v>1.18</v>
      </c>
      <c r="L296">
        <v>0.27</v>
      </c>
      <c r="M296">
        <v>25</v>
      </c>
      <c r="N296">
        <v>4</v>
      </c>
      <c r="O296">
        <v>259</v>
      </c>
      <c r="P296">
        <v>291</v>
      </c>
      <c r="Q296">
        <v>307</v>
      </c>
      <c r="R296">
        <v>15</v>
      </c>
      <c r="S296">
        <v>28.4</v>
      </c>
      <c r="T296">
        <v>3.9</v>
      </c>
      <c r="U296">
        <v>2.0699999999999998</v>
      </c>
      <c r="V296">
        <v>0.16</v>
      </c>
      <c r="W296">
        <v>3.6</v>
      </c>
      <c r="X296">
        <v>10.6</v>
      </c>
      <c r="Y296">
        <v>1.2</v>
      </c>
    </row>
    <row r="297" spans="1:25" x14ac:dyDescent="0.3">
      <c r="A297">
        <v>10.633333329999999</v>
      </c>
      <c r="B297">
        <v>2014</v>
      </c>
      <c r="C297">
        <v>10</v>
      </c>
      <c r="D297">
        <v>19</v>
      </c>
      <c r="E297" t="s">
        <v>43</v>
      </c>
      <c r="G297">
        <v>0.193</v>
      </c>
      <c r="H297">
        <v>6.3E-2</v>
      </c>
      <c r="I297">
        <v>15.3</v>
      </c>
      <c r="J297">
        <v>5.4</v>
      </c>
      <c r="K297">
        <v>1.43</v>
      </c>
      <c r="L297">
        <v>0.5</v>
      </c>
      <c r="M297">
        <v>21.4</v>
      </c>
      <c r="N297">
        <v>5.5</v>
      </c>
      <c r="S297">
        <v>53.8</v>
      </c>
      <c r="T297">
        <v>8.5</v>
      </c>
      <c r="U297">
        <v>0.94</v>
      </c>
      <c r="V297">
        <v>0.05</v>
      </c>
    </row>
    <row r="298" spans="1:25" x14ac:dyDescent="0.3">
      <c r="A298">
        <v>10.4</v>
      </c>
      <c r="B298">
        <v>2016</v>
      </c>
      <c r="C298">
        <v>10</v>
      </c>
      <c r="D298">
        <v>12</v>
      </c>
      <c r="E298" t="s">
        <v>43</v>
      </c>
      <c r="F298">
        <v>5</v>
      </c>
      <c r="G298">
        <v>0.187</v>
      </c>
      <c r="H298">
        <v>1.7999999999999999E-2</v>
      </c>
      <c r="I298">
        <v>9.75</v>
      </c>
      <c r="J298">
        <v>0.52</v>
      </c>
      <c r="K298">
        <v>1.05</v>
      </c>
      <c r="L298">
        <v>0.13</v>
      </c>
      <c r="M298">
        <v>26.8</v>
      </c>
      <c r="N298">
        <v>0.5</v>
      </c>
      <c r="O298">
        <v>223</v>
      </c>
      <c r="P298">
        <v>283</v>
      </c>
      <c r="Q298">
        <v>303</v>
      </c>
      <c r="R298">
        <v>19</v>
      </c>
      <c r="S298">
        <v>47.8</v>
      </c>
      <c r="T298">
        <v>2.7</v>
      </c>
      <c r="U298">
        <v>2.75</v>
      </c>
      <c r="V298">
        <v>0.1</v>
      </c>
      <c r="W298">
        <v>1.5</v>
      </c>
    </row>
    <row r="299" spans="1:25" x14ac:dyDescent="0.3">
      <c r="A299">
        <v>10.633333329999999</v>
      </c>
      <c r="B299">
        <v>2014</v>
      </c>
      <c r="C299">
        <v>10</v>
      </c>
      <c r="D299">
        <v>19</v>
      </c>
      <c r="E299" t="s">
        <v>43</v>
      </c>
      <c r="G299">
        <v>0.182</v>
      </c>
      <c r="H299">
        <v>5.8000000000000003E-2</v>
      </c>
      <c r="I299">
        <v>8.3699999999999992</v>
      </c>
      <c r="J299">
        <v>2.8</v>
      </c>
      <c r="K299">
        <v>1.1599999999999999</v>
      </c>
      <c r="L299">
        <v>0.34</v>
      </c>
      <c r="M299">
        <v>28</v>
      </c>
      <c r="N299">
        <v>5.5</v>
      </c>
      <c r="O299">
        <v>232</v>
      </c>
      <c r="P299">
        <v>309</v>
      </c>
      <c r="Q299">
        <v>354</v>
      </c>
      <c r="S299">
        <v>38.200000000000003</v>
      </c>
      <c r="T299">
        <v>11.4</v>
      </c>
      <c r="U299">
        <v>1.1599999999999999</v>
      </c>
      <c r="V299">
        <v>0.09</v>
      </c>
      <c r="W299">
        <v>3.1</v>
      </c>
    </row>
    <row r="300" spans="1:25" x14ac:dyDescent="0.3">
      <c r="A300">
        <v>10.16666667</v>
      </c>
      <c r="B300">
        <v>2017</v>
      </c>
      <c r="C300">
        <v>10</v>
      </c>
      <c r="D300">
        <v>5</v>
      </c>
      <c r="E300" t="s">
        <v>43</v>
      </c>
      <c r="G300">
        <v>0.16900000000000001</v>
      </c>
      <c r="H300">
        <v>3.9E-2</v>
      </c>
      <c r="I300">
        <v>11.8</v>
      </c>
      <c r="J300">
        <v>0.82</v>
      </c>
      <c r="K300">
        <v>1.51</v>
      </c>
      <c r="L300">
        <v>0.1</v>
      </c>
      <c r="M300">
        <v>19.2</v>
      </c>
      <c r="N300">
        <v>3.2</v>
      </c>
      <c r="O300">
        <v>236</v>
      </c>
      <c r="P300">
        <v>284</v>
      </c>
      <c r="Q300">
        <v>301</v>
      </c>
      <c r="S300">
        <v>50.7</v>
      </c>
      <c r="T300">
        <v>2.6</v>
      </c>
      <c r="U300">
        <v>3.03</v>
      </c>
      <c r="V300">
        <v>7.0000000000000007E-2</v>
      </c>
      <c r="W300">
        <v>7.4</v>
      </c>
    </row>
    <row r="301" spans="1:25" x14ac:dyDescent="0.3">
      <c r="A301">
        <v>10.366666670000001</v>
      </c>
      <c r="B301">
        <v>2016</v>
      </c>
      <c r="C301">
        <v>10</v>
      </c>
      <c r="D301">
        <v>11</v>
      </c>
      <c r="E301" t="s">
        <v>43</v>
      </c>
      <c r="F301">
        <v>6</v>
      </c>
      <c r="G301">
        <v>0.16500000000000001</v>
      </c>
      <c r="H301">
        <v>4.2000000000000003E-2</v>
      </c>
      <c r="I301">
        <v>10.3</v>
      </c>
      <c r="J301">
        <v>1.03</v>
      </c>
      <c r="K301">
        <v>1.39</v>
      </c>
      <c r="L301">
        <v>0.17</v>
      </c>
      <c r="M301">
        <v>20.3</v>
      </c>
      <c r="N301">
        <v>3.4</v>
      </c>
      <c r="S301">
        <v>58.7</v>
      </c>
      <c r="T301">
        <v>8.9</v>
      </c>
      <c r="U301">
        <v>0.85</v>
      </c>
      <c r="V301">
        <v>0.08</v>
      </c>
    </row>
    <row r="302" spans="1:25" x14ac:dyDescent="0.3">
      <c r="A302">
        <v>10.7</v>
      </c>
      <c r="B302">
        <v>2015</v>
      </c>
      <c r="C302">
        <v>10</v>
      </c>
      <c r="D302">
        <v>21</v>
      </c>
      <c r="E302" t="s">
        <v>43</v>
      </c>
      <c r="F302">
        <v>7</v>
      </c>
      <c r="G302">
        <v>0.16300000000000001</v>
      </c>
      <c r="H302">
        <v>3.4000000000000002E-2</v>
      </c>
      <c r="I302">
        <v>16.399999999999999</v>
      </c>
      <c r="J302">
        <v>3.46</v>
      </c>
      <c r="K302">
        <v>1.0900000000000001</v>
      </c>
      <c r="L302">
        <v>0.2</v>
      </c>
      <c r="M302">
        <v>22.4</v>
      </c>
      <c r="N302">
        <v>5.6</v>
      </c>
      <c r="O302">
        <v>224</v>
      </c>
      <c r="P302">
        <v>276</v>
      </c>
      <c r="Q302">
        <v>296</v>
      </c>
      <c r="R302">
        <v>22</v>
      </c>
      <c r="S302">
        <v>25.4</v>
      </c>
      <c r="T302">
        <v>2.1</v>
      </c>
      <c r="U302">
        <v>1.03</v>
      </c>
      <c r="V302">
        <v>0.04</v>
      </c>
      <c r="W302">
        <v>7.2</v>
      </c>
      <c r="X302">
        <v>46.8</v>
      </c>
      <c r="Y302">
        <v>4.7</v>
      </c>
    </row>
    <row r="303" spans="1:25" x14ac:dyDescent="0.3">
      <c r="A303">
        <v>10.3</v>
      </c>
      <c r="B303">
        <v>2014</v>
      </c>
      <c r="C303">
        <v>10</v>
      </c>
      <c r="D303">
        <v>9</v>
      </c>
      <c r="E303" t="s">
        <v>43</v>
      </c>
      <c r="G303">
        <v>0.161</v>
      </c>
      <c r="H303">
        <v>7.8E-2</v>
      </c>
      <c r="I303">
        <v>11.6</v>
      </c>
      <c r="J303">
        <v>3.8</v>
      </c>
      <c r="K303">
        <v>1.2</v>
      </c>
      <c r="L303">
        <v>0.49</v>
      </c>
      <c r="M303">
        <v>24.5</v>
      </c>
      <c r="N303">
        <v>3.6</v>
      </c>
      <c r="S303">
        <v>51.5</v>
      </c>
      <c r="T303">
        <v>12.7</v>
      </c>
      <c r="U303">
        <v>1.2</v>
      </c>
      <c r="V303">
        <v>0.08</v>
      </c>
    </row>
    <row r="304" spans="1:25" x14ac:dyDescent="0.3">
      <c r="A304">
        <v>10.16666667</v>
      </c>
      <c r="B304">
        <v>2014</v>
      </c>
      <c r="C304">
        <v>10</v>
      </c>
      <c r="D304">
        <v>5</v>
      </c>
      <c r="E304" t="s">
        <v>43</v>
      </c>
      <c r="G304">
        <v>0.158</v>
      </c>
      <c r="H304">
        <v>5.8000000000000003E-2</v>
      </c>
      <c r="I304">
        <v>7.19</v>
      </c>
      <c r="J304">
        <v>3.4</v>
      </c>
      <c r="K304">
        <v>0.87</v>
      </c>
      <c r="L304">
        <v>0.15</v>
      </c>
      <c r="M304">
        <v>32</v>
      </c>
      <c r="N304">
        <v>8.3000000000000007</v>
      </c>
      <c r="O304">
        <v>252</v>
      </c>
      <c r="P304">
        <v>300</v>
      </c>
      <c r="Q304">
        <v>320</v>
      </c>
      <c r="R304">
        <v>16</v>
      </c>
      <c r="S304">
        <v>30.5</v>
      </c>
      <c r="T304">
        <v>7.9</v>
      </c>
      <c r="U304">
        <v>1.97</v>
      </c>
      <c r="V304">
        <v>0.24</v>
      </c>
      <c r="W304">
        <v>3.5</v>
      </c>
    </row>
    <row r="305" spans="1:25" x14ac:dyDescent="0.3">
      <c r="A305">
        <v>10.633333329999999</v>
      </c>
      <c r="B305">
        <v>2014</v>
      </c>
      <c r="C305">
        <v>10</v>
      </c>
      <c r="D305">
        <v>19</v>
      </c>
      <c r="E305" t="s">
        <v>43</v>
      </c>
      <c r="G305">
        <v>0.158</v>
      </c>
      <c r="H305">
        <v>7.3999999999999996E-2</v>
      </c>
      <c r="I305">
        <v>8.9</v>
      </c>
      <c r="J305">
        <v>3.5</v>
      </c>
      <c r="K305">
        <v>1.38</v>
      </c>
      <c r="L305">
        <v>0.33</v>
      </c>
      <c r="M305">
        <v>21</v>
      </c>
      <c r="N305">
        <v>5.5</v>
      </c>
      <c r="S305">
        <v>61.3</v>
      </c>
      <c r="T305">
        <v>15.2</v>
      </c>
      <c r="U305">
        <v>0.61</v>
      </c>
      <c r="V305">
        <v>0.08</v>
      </c>
    </row>
    <row r="306" spans="1:25" x14ac:dyDescent="0.3">
      <c r="A306">
        <v>10.16666667</v>
      </c>
      <c r="B306">
        <v>2014</v>
      </c>
      <c r="C306">
        <v>10</v>
      </c>
      <c r="D306">
        <v>5</v>
      </c>
      <c r="E306" t="s">
        <v>43</v>
      </c>
      <c r="G306">
        <v>0.157</v>
      </c>
      <c r="H306">
        <v>5.1999999999999998E-2</v>
      </c>
      <c r="I306">
        <v>7.54</v>
      </c>
      <c r="J306">
        <v>2.7</v>
      </c>
      <c r="K306">
        <v>1.04</v>
      </c>
      <c r="L306">
        <v>0.28000000000000003</v>
      </c>
      <c r="M306">
        <v>27.2</v>
      </c>
      <c r="N306">
        <v>4.9000000000000004</v>
      </c>
      <c r="O306">
        <v>204</v>
      </c>
      <c r="P306">
        <v>256</v>
      </c>
      <c r="Q306">
        <v>288</v>
      </c>
      <c r="S306">
        <v>32.9</v>
      </c>
      <c r="T306">
        <v>8.5</v>
      </c>
      <c r="U306">
        <v>1.75</v>
      </c>
      <c r="V306">
        <v>0.28999999999999998</v>
      </c>
      <c r="W306">
        <v>1.2</v>
      </c>
    </row>
    <row r="307" spans="1:25" x14ac:dyDescent="0.3">
      <c r="A307">
        <v>10.3</v>
      </c>
      <c r="B307">
        <v>2014</v>
      </c>
      <c r="C307">
        <v>10</v>
      </c>
      <c r="D307">
        <v>9</v>
      </c>
      <c r="E307" t="s">
        <v>43</v>
      </c>
      <c r="G307">
        <v>0.14899999999999999</v>
      </c>
      <c r="H307">
        <v>4.4999999999999998E-2</v>
      </c>
      <c r="I307">
        <v>4.4000000000000004</v>
      </c>
      <c r="J307">
        <v>0.8</v>
      </c>
      <c r="K307">
        <v>1.1499999999999999</v>
      </c>
      <c r="L307">
        <v>0.46</v>
      </c>
      <c r="M307">
        <v>30.7</v>
      </c>
      <c r="N307">
        <v>2.6</v>
      </c>
      <c r="O307">
        <v>205</v>
      </c>
      <c r="P307">
        <v>255</v>
      </c>
      <c r="Q307">
        <v>283</v>
      </c>
      <c r="R307">
        <v>11</v>
      </c>
      <c r="S307">
        <v>28.2</v>
      </c>
      <c r="T307">
        <v>13.3</v>
      </c>
      <c r="U307">
        <v>2.4700000000000002</v>
      </c>
      <c r="V307">
        <v>0.17</v>
      </c>
      <c r="W307">
        <v>9.9</v>
      </c>
    </row>
    <row r="308" spans="1:25" x14ac:dyDescent="0.3">
      <c r="A308">
        <v>10.56666667</v>
      </c>
      <c r="B308">
        <v>2014</v>
      </c>
      <c r="C308">
        <v>10</v>
      </c>
      <c r="D308">
        <v>17</v>
      </c>
      <c r="E308" t="s">
        <v>43</v>
      </c>
      <c r="G308">
        <v>0.14299999999999999</v>
      </c>
      <c r="H308">
        <v>5.3999999999999999E-2</v>
      </c>
      <c r="I308">
        <v>6.34</v>
      </c>
      <c r="J308">
        <v>3.3</v>
      </c>
      <c r="K308">
        <v>1.04</v>
      </c>
      <c r="L308">
        <v>0.09</v>
      </c>
      <c r="M308">
        <v>26.8</v>
      </c>
      <c r="N308">
        <v>4.2</v>
      </c>
      <c r="R308">
        <v>22</v>
      </c>
      <c r="S308">
        <v>53.3</v>
      </c>
      <c r="T308">
        <v>14</v>
      </c>
      <c r="U308">
        <v>0.74</v>
      </c>
      <c r="V308">
        <v>0.06</v>
      </c>
    </row>
    <row r="309" spans="1:25" x14ac:dyDescent="0.3">
      <c r="A309">
        <v>10.56666667</v>
      </c>
      <c r="B309">
        <v>2014</v>
      </c>
      <c r="C309">
        <v>10</v>
      </c>
      <c r="D309">
        <v>17</v>
      </c>
      <c r="E309" t="s">
        <v>43</v>
      </c>
      <c r="G309">
        <v>0.13900000000000001</v>
      </c>
      <c r="H309">
        <v>3.6999999999999998E-2</v>
      </c>
      <c r="I309">
        <v>8.23</v>
      </c>
      <c r="J309">
        <v>1.5</v>
      </c>
      <c r="K309">
        <v>1.1299999999999999</v>
      </c>
      <c r="L309">
        <v>0.11</v>
      </c>
      <c r="M309">
        <v>19.8</v>
      </c>
      <c r="N309">
        <v>3</v>
      </c>
      <c r="S309">
        <v>47.3</v>
      </c>
      <c r="T309">
        <v>5.5</v>
      </c>
      <c r="U309">
        <v>1.19</v>
      </c>
      <c r="V309">
        <v>0.08</v>
      </c>
    </row>
    <row r="310" spans="1:25" x14ac:dyDescent="0.3">
      <c r="A310">
        <v>10.7</v>
      </c>
      <c r="B310">
        <v>2015</v>
      </c>
      <c r="C310">
        <v>10</v>
      </c>
      <c r="D310">
        <v>21</v>
      </c>
      <c r="E310" t="s">
        <v>43</v>
      </c>
      <c r="F310">
        <v>6</v>
      </c>
      <c r="G310">
        <v>0.13800000000000001</v>
      </c>
      <c r="H310">
        <v>2.5000000000000001E-2</v>
      </c>
      <c r="I310">
        <v>8.6199999999999992</v>
      </c>
      <c r="J310">
        <v>1.2</v>
      </c>
      <c r="K310">
        <v>1.08</v>
      </c>
      <c r="L310">
        <v>0.06</v>
      </c>
      <c r="M310">
        <v>28</v>
      </c>
      <c r="N310">
        <v>4.3</v>
      </c>
      <c r="O310">
        <v>198</v>
      </c>
      <c r="P310">
        <v>251</v>
      </c>
      <c r="Q310">
        <v>282</v>
      </c>
      <c r="R310">
        <v>26</v>
      </c>
      <c r="S310">
        <v>41.6</v>
      </c>
      <c r="T310">
        <v>8.8000000000000007</v>
      </c>
      <c r="U310">
        <v>1.08</v>
      </c>
      <c r="V310">
        <v>0.05</v>
      </c>
      <c r="W310">
        <v>9.9</v>
      </c>
    </row>
    <row r="311" spans="1:25" x14ac:dyDescent="0.3">
      <c r="A311">
        <v>10.3</v>
      </c>
      <c r="B311">
        <v>2014</v>
      </c>
      <c r="C311">
        <v>10</v>
      </c>
      <c r="D311">
        <v>9</v>
      </c>
      <c r="E311" t="s">
        <v>43</v>
      </c>
      <c r="G311">
        <v>0.13800000000000001</v>
      </c>
      <c r="H311">
        <v>6.7000000000000004E-2</v>
      </c>
      <c r="I311">
        <v>7.36</v>
      </c>
      <c r="J311">
        <v>2.2000000000000002</v>
      </c>
      <c r="K311">
        <v>0.99</v>
      </c>
      <c r="L311">
        <v>0.28999999999999998</v>
      </c>
      <c r="M311">
        <v>24.4</v>
      </c>
      <c r="N311">
        <v>4.4000000000000004</v>
      </c>
      <c r="S311">
        <v>45.8</v>
      </c>
      <c r="T311">
        <v>7.2</v>
      </c>
      <c r="U311">
        <v>1.08</v>
      </c>
      <c r="V311">
        <v>0.09</v>
      </c>
    </row>
    <row r="312" spans="1:25" x14ac:dyDescent="0.3">
      <c r="A312">
        <v>10.3</v>
      </c>
      <c r="B312">
        <v>2014</v>
      </c>
      <c r="C312">
        <v>10</v>
      </c>
      <c r="D312">
        <v>9</v>
      </c>
      <c r="E312" t="s">
        <v>43</v>
      </c>
      <c r="G312">
        <v>0.13400000000000001</v>
      </c>
      <c r="H312">
        <v>0.06</v>
      </c>
      <c r="I312">
        <v>5.21</v>
      </c>
      <c r="J312">
        <v>2.1</v>
      </c>
      <c r="K312">
        <v>0.87</v>
      </c>
      <c r="L312">
        <v>0.25</v>
      </c>
      <c r="M312">
        <v>27.4</v>
      </c>
      <c r="N312">
        <v>11.2</v>
      </c>
      <c r="S312">
        <v>41.5</v>
      </c>
      <c r="T312">
        <v>6.8</v>
      </c>
      <c r="U312">
        <v>1.23</v>
      </c>
      <c r="V312">
        <v>0.06</v>
      </c>
    </row>
    <row r="313" spans="1:25" x14ac:dyDescent="0.3">
      <c r="A313">
        <v>10.56666667</v>
      </c>
      <c r="B313">
        <v>2014</v>
      </c>
      <c r="C313">
        <v>10</v>
      </c>
      <c r="D313">
        <v>17</v>
      </c>
      <c r="E313" t="s">
        <v>43</v>
      </c>
      <c r="G313">
        <v>0.13300000000000001</v>
      </c>
      <c r="H313">
        <v>3.1E-2</v>
      </c>
      <c r="I313">
        <v>6.89</v>
      </c>
      <c r="J313">
        <v>1.4</v>
      </c>
      <c r="K313">
        <v>1.0900000000000001</v>
      </c>
      <c r="L313">
        <v>0.25</v>
      </c>
      <c r="M313">
        <v>25</v>
      </c>
      <c r="N313">
        <v>2.1</v>
      </c>
      <c r="S313">
        <v>42.2</v>
      </c>
      <c r="T313">
        <v>8</v>
      </c>
      <c r="U313">
        <v>0.94</v>
      </c>
      <c r="V313">
        <v>0.06</v>
      </c>
    </row>
    <row r="314" spans="1:25" x14ac:dyDescent="0.3">
      <c r="A314">
        <v>10.633333329999999</v>
      </c>
      <c r="B314">
        <v>2014</v>
      </c>
      <c r="C314">
        <v>10</v>
      </c>
      <c r="D314">
        <v>19</v>
      </c>
      <c r="E314" t="s">
        <v>43</v>
      </c>
      <c r="G314">
        <v>0.13200000000000001</v>
      </c>
      <c r="H314">
        <v>3.3000000000000002E-2</v>
      </c>
      <c r="I314">
        <v>8.41</v>
      </c>
      <c r="J314">
        <v>1.4</v>
      </c>
      <c r="K314">
        <v>0.77</v>
      </c>
      <c r="L314">
        <v>0.11</v>
      </c>
      <c r="M314">
        <v>25.2</v>
      </c>
      <c r="N314">
        <v>6</v>
      </c>
      <c r="S314">
        <v>51.1</v>
      </c>
      <c r="T314">
        <v>8.6999999999999993</v>
      </c>
      <c r="U314">
        <v>1.18</v>
      </c>
      <c r="V314">
        <v>0.09</v>
      </c>
    </row>
    <row r="315" spans="1:25" x14ac:dyDescent="0.3">
      <c r="A315">
        <v>10.56666667</v>
      </c>
      <c r="B315">
        <v>2014</v>
      </c>
      <c r="C315">
        <v>10</v>
      </c>
      <c r="D315">
        <v>17</v>
      </c>
      <c r="E315" t="s">
        <v>43</v>
      </c>
      <c r="G315">
        <v>0.13100000000000001</v>
      </c>
      <c r="H315">
        <v>7.2999999999999995E-2</v>
      </c>
      <c r="I315">
        <v>11.7</v>
      </c>
      <c r="J315">
        <v>7.2</v>
      </c>
      <c r="K315">
        <v>1.1299999999999999</v>
      </c>
      <c r="L315">
        <v>0.62</v>
      </c>
      <c r="M315">
        <v>57.1</v>
      </c>
      <c r="N315">
        <v>23.8</v>
      </c>
      <c r="S315">
        <v>53.7</v>
      </c>
      <c r="T315">
        <v>14</v>
      </c>
      <c r="U315">
        <v>0.73</v>
      </c>
      <c r="V315">
        <v>0.06</v>
      </c>
    </row>
    <row r="316" spans="1:25" x14ac:dyDescent="0.3">
      <c r="A316">
        <v>10.3</v>
      </c>
      <c r="B316">
        <v>2014</v>
      </c>
      <c r="C316">
        <v>10</v>
      </c>
      <c r="D316">
        <v>9</v>
      </c>
      <c r="E316" t="s">
        <v>43</v>
      </c>
      <c r="G316">
        <v>0.129</v>
      </c>
      <c r="H316">
        <v>3.2000000000000001E-2</v>
      </c>
      <c r="I316">
        <v>6.64</v>
      </c>
      <c r="J316">
        <v>2.2999999999999998</v>
      </c>
      <c r="K316">
        <v>0.87</v>
      </c>
      <c r="L316">
        <v>0.23</v>
      </c>
      <c r="M316">
        <v>26.8</v>
      </c>
      <c r="N316">
        <v>2.9</v>
      </c>
      <c r="O316">
        <v>189</v>
      </c>
      <c r="P316">
        <v>224</v>
      </c>
      <c r="Q316">
        <v>261</v>
      </c>
      <c r="S316">
        <v>33.6</v>
      </c>
      <c r="T316">
        <v>5.5</v>
      </c>
      <c r="U316">
        <v>1.74</v>
      </c>
      <c r="V316">
        <v>0.09</v>
      </c>
      <c r="W316">
        <v>7.1</v>
      </c>
    </row>
    <row r="317" spans="1:25" x14ac:dyDescent="0.3">
      <c r="A317">
        <v>10.3</v>
      </c>
      <c r="B317">
        <v>2014</v>
      </c>
      <c r="C317">
        <v>10</v>
      </c>
      <c r="D317">
        <v>9</v>
      </c>
      <c r="E317" t="s">
        <v>43</v>
      </c>
      <c r="G317">
        <v>0.121</v>
      </c>
      <c r="H317">
        <v>3.5999999999999997E-2</v>
      </c>
      <c r="I317">
        <v>4.2</v>
      </c>
      <c r="J317">
        <v>0.7</v>
      </c>
      <c r="K317">
        <v>0.99</v>
      </c>
      <c r="L317">
        <v>0.47</v>
      </c>
      <c r="M317">
        <v>53.2</v>
      </c>
      <c r="N317">
        <v>3.7</v>
      </c>
      <c r="O317">
        <v>227</v>
      </c>
      <c r="P317">
        <v>286</v>
      </c>
      <c r="Q317">
        <v>306</v>
      </c>
      <c r="R317">
        <v>23</v>
      </c>
      <c r="S317">
        <v>38.1</v>
      </c>
      <c r="T317">
        <v>11.3</v>
      </c>
      <c r="U317">
        <v>2.54</v>
      </c>
      <c r="V317">
        <v>0.25</v>
      </c>
      <c r="W317">
        <v>7.7</v>
      </c>
    </row>
    <row r="318" spans="1:25" x14ac:dyDescent="0.3">
      <c r="A318">
        <v>10.46666667</v>
      </c>
      <c r="B318">
        <v>2015</v>
      </c>
      <c r="C318">
        <v>10</v>
      </c>
      <c r="D318">
        <v>14</v>
      </c>
      <c r="E318" t="s">
        <v>43</v>
      </c>
      <c r="G318">
        <v>0.12</v>
      </c>
      <c r="H318">
        <v>3.1E-2</v>
      </c>
      <c r="I318">
        <v>7.57</v>
      </c>
      <c r="J318">
        <v>1.5</v>
      </c>
      <c r="K318">
        <v>0.75</v>
      </c>
      <c r="L318">
        <v>0.06</v>
      </c>
      <c r="M318">
        <v>27.2</v>
      </c>
      <c r="N318">
        <v>7.2</v>
      </c>
      <c r="O318">
        <v>209</v>
      </c>
      <c r="P318">
        <v>267</v>
      </c>
      <c r="Q318">
        <v>293</v>
      </c>
      <c r="R318">
        <v>19</v>
      </c>
      <c r="S318">
        <v>36.1</v>
      </c>
      <c r="T318">
        <v>6.5</v>
      </c>
      <c r="U318">
        <v>1.84</v>
      </c>
      <c r="V318">
        <v>0.17</v>
      </c>
      <c r="W318">
        <v>7.8</v>
      </c>
      <c r="X318">
        <v>47.4</v>
      </c>
      <c r="Y318">
        <v>7</v>
      </c>
    </row>
    <row r="319" spans="1:25" x14ac:dyDescent="0.3">
      <c r="A319">
        <v>10.56666667</v>
      </c>
      <c r="B319">
        <v>2014</v>
      </c>
      <c r="C319">
        <v>10</v>
      </c>
      <c r="D319">
        <v>17</v>
      </c>
      <c r="E319" t="s">
        <v>43</v>
      </c>
      <c r="G319">
        <v>0.114</v>
      </c>
      <c r="H319">
        <v>5.0999999999999997E-2</v>
      </c>
      <c r="I319">
        <v>8.82</v>
      </c>
      <c r="J319">
        <v>1.2</v>
      </c>
      <c r="K319">
        <v>0.89</v>
      </c>
      <c r="L319">
        <v>0.14000000000000001</v>
      </c>
      <c r="M319">
        <v>21</v>
      </c>
      <c r="N319">
        <v>5.4</v>
      </c>
      <c r="S319">
        <v>47.4</v>
      </c>
      <c r="T319">
        <v>7.6</v>
      </c>
      <c r="U319">
        <v>0.88</v>
      </c>
      <c r="V319">
        <v>0.04</v>
      </c>
    </row>
    <row r="320" spans="1:25" x14ac:dyDescent="0.3">
      <c r="A320">
        <v>10.43333333</v>
      </c>
      <c r="B320">
        <v>2017</v>
      </c>
      <c r="C320">
        <v>10</v>
      </c>
      <c r="D320">
        <v>13</v>
      </c>
      <c r="E320" t="s">
        <v>43</v>
      </c>
      <c r="F320">
        <v>11</v>
      </c>
      <c r="G320">
        <v>0.114</v>
      </c>
      <c r="H320">
        <v>1.9E-2</v>
      </c>
      <c r="I320">
        <v>33.5</v>
      </c>
      <c r="J320">
        <v>5.5</v>
      </c>
      <c r="K320">
        <v>2.64</v>
      </c>
      <c r="L320">
        <v>0.14000000000000001</v>
      </c>
      <c r="M320">
        <v>8.9</v>
      </c>
      <c r="N320">
        <v>1.3</v>
      </c>
      <c r="O320">
        <v>205</v>
      </c>
      <c r="P320">
        <v>268</v>
      </c>
      <c r="Q320">
        <v>297</v>
      </c>
      <c r="R320">
        <v>6</v>
      </c>
      <c r="S320">
        <v>58.4</v>
      </c>
      <c r="T320">
        <v>7.2</v>
      </c>
      <c r="U320">
        <v>0.43</v>
      </c>
      <c r="V320">
        <v>0.03</v>
      </c>
      <c r="W320">
        <v>9.1</v>
      </c>
      <c r="X320">
        <v>11.5</v>
      </c>
      <c r="Y320">
        <v>4</v>
      </c>
    </row>
    <row r="321" spans="1:25" x14ac:dyDescent="0.3">
      <c r="A321">
        <v>10.366666670000001</v>
      </c>
      <c r="B321">
        <v>2017</v>
      </c>
      <c r="C321">
        <v>10</v>
      </c>
      <c r="D321">
        <v>11</v>
      </c>
      <c r="E321" t="s">
        <v>43</v>
      </c>
      <c r="F321">
        <v>3</v>
      </c>
      <c r="G321">
        <v>0.112</v>
      </c>
      <c r="H321">
        <v>4.9000000000000002E-2</v>
      </c>
      <c r="I321">
        <v>13.1</v>
      </c>
      <c r="J321">
        <v>2.8</v>
      </c>
      <c r="K321">
        <v>2.13</v>
      </c>
      <c r="L321">
        <v>0.6</v>
      </c>
      <c r="M321">
        <v>11.2</v>
      </c>
      <c r="N321">
        <v>1.7</v>
      </c>
      <c r="S321">
        <v>65.7</v>
      </c>
      <c r="T321">
        <v>10.6</v>
      </c>
      <c r="U321">
        <v>0.37</v>
      </c>
      <c r="V321">
        <v>0.02</v>
      </c>
    </row>
    <row r="322" spans="1:25" x14ac:dyDescent="0.3">
      <c r="A322">
        <v>10.7</v>
      </c>
      <c r="B322">
        <v>2015</v>
      </c>
      <c r="C322">
        <v>10</v>
      </c>
      <c r="D322">
        <v>21</v>
      </c>
      <c r="E322" t="s">
        <v>43</v>
      </c>
      <c r="F322">
        <v>7</v>
      </c>
      <c r="G322">
        <v>0.106</v>
      </c>
      <c r="H322">
        <v>2.5000000000000001E-2</v>
      </c>
      <c r="I322">
        <v>13</v>
      </c>
      <c r="J322">
        <v>0.6</v>
      </c>
      <c r="K322">
        <v>0.79</v>
      </c>
      <c r="L322">
        <v>0.15</v>
      </c>
      <c r="M322">
        <v>20.3</v>
      </c>
      <c r="N322">
        <v>4.8</v>
      </c>
      <c r="O322">
        <v>204</v>
      </c>
      <c r="P322">
        <v>252</v>
      </c>
      <c r="Q322">
        <v>286</v>
      </c>
      <c r="R322">
        <v>31</v>
      </c>
      <c r="S322">
        <v>55</v>
      </c>
      <c r="T322">
        <v>7.6</v>
      </c>
      <c r="U322">
        <v>1.07</v>
      </c>
      <c r="V322">
        <v>0.05</v>
      </c>
      <c r="W322">
        <v>8.3000000000000007</v>
      </c>
      <c r="X322">
        <v>21</v>
      </c>
      <c r="Y322">
        <v>10.6</v>
      </c>
    </row>
    <row r="323" spans="1:25" x14ac:dyDescent="0.3">
      <c r="A323">
        <v>10.366666670000001</v>
      </c>
      <c r="B323">
        <v>2016</v>
      </c>
      <c r="C323">
        <v>10</v>
      </c>
      <c r="D323">
        <v>11</v>
      </c>
      <c r="E323" t="s">
        <v>43</v>
      </c>
      <c r="F323">
        <v>2</v>
      </c>
      <c r="G323">
        <v>9.4E-2</v>
      </c>
      <c r="H323">
        <v>3.9E-2</v>
      </c>
      <c r="I323">
        <v>10.7</v>
      </c>
      <c r="J323">
        <v>1.3</v>
      </c>
      <c r="K323">
        <v>1.1399999999999999</v>
      </c>
      <c r="L323">
        <v>0.02</v>
      </c>
      <c r="M323">
        <v>11.3</v>
      </c>
      <c r="N323">
        <v>0.5</v>
      </c>
      <c r="S323">
        <v>21.7</v>
      </c>
      <c r="T323">
        <v>3.3</v>
      </c>
      <c r="U323">
        <v>0.63</v>
      </c>
      <c r="V323">
        <v>0.04</v>
      </c>
    </row>
    <row r="324" spans="1:25" x14ac:dyDescent="0.3">
      <c r="A324">
        <v>10.33333333</v>
      </c>
      <c r="B324">
        <v>2016</v>
      </c>
      <c r="C324">
        <v>10</v>
      </c>
      <c r="D324">
        <v>10</v>
      </c>
      <c r="E324" t="s">
        <v>43</v>
      </c>
      <c r="F324">
        <v>3</v>
      </c>
      <c r="G324">
        <v>0.09</v>
      </c>
      <c r="H324">
        <v>7.0000000000000001E-3</v>
      </c>
      <c r="I324">
        <v>4.6399999999999997</v>
      </c>
      <c r="J324">
        <v>2.4300000000000002</v>
      </c>
      <c r="K324">
        <v>1</v>
      </c>
      <c r="L324">
        <v>0.04</v>
      </c>
      <c r="M324">
        <v>20.2</v>
      </c>
      <c r="N324">
        <v>1.9</v>
      </c>
      <c r="S324">
        <v>33.5</v>
      </c>
      <c r="T324">
        <v>4.2</v>
      </c>
      <c r="U324">
        <v>0.59</v>
      </c>
      <c r="V324">
        <v>0.02</v>
      </c>
    </row>
    <row r="325" spans="1:25" x14ac:dyDescent="0.3">
      <c r="A325">
        <v>10.3</v>
      </c>
      <c r="B325">
        <v>2014</v>
      </c>
      <c r="C325">
        <v>10</v>
      </c>
      <c r="D325">
        <v>9</v>
      </c>
      <c r="E325" t="s">
        <v>43</v>
      </c>
      <c r="G325">
        <v>8.5999999999999993E-2</v>
      </c>
      <c r="H325">
        <v>1.2999999999999999E-2</v>
      </c>
      <c r="I325">
        <v>5.48</v>
      </c>
      <c r="J325">
        <v>1.2</v>
      </c>
      <c r="K325">
        <v>0.65</v>
      </c>
      <c r="L325">
        <v>0.14000000000000001</v>
      </c>
      <c r="M325">
        <v>22.5</v>
      </c>
      <c r="N325">
        <v>5</v>
      </c>
      <c r="O325">
        <v>216</v>
      </c>
      <c r="P325">
        <v>278</v>
      </c>
      <c r="Q325">
        <v>301</v>
      </c>
      <c r="R325">
        <v>31</v>
      </c>
      <c r="S325">
        <v>41.7</v>
      </c>
      <c r="T325">
        <v>13.1</v>
      </c>
      <c r="U325">
        <v>1.91</v>
      </c>
      <c r="V325">
        <v>0.21</v>
      </c>
      <c r="W325">
        <v>4.0999999999999996</v>
      </c>
    </row>
    <row r="326" spans="1:25" x14ac:dyDescent="0.3">
      <c r="A326">
        <v>10.366666670000001</v>
      </c>
      <c r="B326">
        <v>2016</v>
      </c>
      <c r="C326">
        <v>10</v>
      </c>
      <c r="D326">
        <v>11</v>
      </c>
      <c r="E326" t="s">
        <v>43</v>
      </c>
      <c r="G326">
        <v>8.4000000000000005E-2</v>
      </c>
      <c r="H326">
        <v>2.5000000000000001E-2</v>
      </c>
      <c r="I326">
        <v>6.41</v>
      </c>
      <c r="J326">
        <v>1.35</v>
      </c>
      <c r="K326">
        <v>1.04</v>
      </c>
      <c r="L326">
        <v>0.15</v>
      </c>
      <c r="M326">
        <v>17.899999999999999</v>
      </c>
      <c r="N326">
        <v>3.8</v>
      </c>
      <c r="O326">
        <v>220</v>
      </c>
      <c r="P326">
        <v>281</v>
      </c>
      <c r="Q326">
        <v>303</v>
      </c>
      <c r="R326">
        <v>20</v>
      </c>
      <c r="S326">
        <v>35.799999999999997</v>
      </c>
      <c r="T326">
        <v>3.5</v>
      </c>
      <c r="U326">
        <v>2.44</v>
      </c>
      <c r="V326">
        <v>0.13</v>
      </c>
      <c r="W326">
        <v>2.6</v>
      </c>
      <c r="X326">
        <v>33.299999999999997</v>
      </c>
      <c r="Y326">
        <v>2</v>
      </c>
    </row>
    <row r="327" spans="1:25" x14ac:dyDescent="0.3">
      <c r="A327">
        <v>10.7</v>
      </c>
      <c r="B327">
        <v>2015</v>
      </c>
      <c r="C327">
        <v>10</v>
      </c>
      <c r="D327">
        <v>21</v>
      </c>
      <c r="E327" t="s">
        <v>43</v>
      </c>
      <c r="F327">
        <v>12</v>
      </c>
      <c r="G327">
        <v>7.9000000000000001E-2</v>
      </c>
      <c r="H327">
        <v>1.2999999999999999E-2</v>
      </c>
      <c r="I327">
        <v>6.36</v>
      </c>
      <c r="J327">
        <v>2</v>
      </c>
      <c r="K327">
        <v>0.67</v>
      </c>
      <c r="L327">
        <v>0.01</v>
      </c>
      <c r="M327">
        <v>21.3</v>
      </c>
      <c r="N327">
        <v>5.8</v>
      </c>
      <c r="S327">
        <v>35.4</v>
      </c>
      <c r="T327">
        <v>14.9</v>
      </c>
      <c r="U327">
        <v>0.87</v>
      </c>
      <c r="V327">
        <v>0.08</v>
      </c>
    </row>
    <row r="328" spans="1:25" x14ac:dyDescent="0.3">
      <c r="A328">
        <v>10.46666667</v>
      </c>
      <c r="B328">
        <v>2015</v>
      </c>
      <c r="C328">
        <v>10</v>
      </c>
      <c r="D328">
        <v>14</v>
      </c>
      <c r="E328" t="s">
        <v>43</v>
      </c>
      <c r="F328">
        <v>7</v>
      </c>
      <c r="G328">
        <v>7.5999999999999998E-2</v>
      </c>
      <c r="H328">
        <v>7.2999999999999995E-2</v>
      </c>
      <c r="I328">
        <v>6.68</v>
      </c>
      <c r="J328">
        <v>1.2</v>
      </c>
      <c r="K328">
        <v>0.76</v>
      </c>
      <c r="L328">
        <v>0.25</v>
      </c>
      <c r="M328">
        <v>16</v>
      </c>
      <c r="N328">
        <v>3.7</v>
      </c>
      <c r="O328">
        <v>197</v>
      </c>
      <c r="P328">
        <v>263</v>
      </c>
      <c r="Q328">
        <v>298</v>
      </c>
      <c r="R328">
        <v>18</v>
      </c>
      <c r="S328">
        <v>36.799999999999997</v>
      </c>
      <c r="T328">
        <v>5.8</v>
      </c>
      <c r="U328">
        <v>1.19</v>
      </c>
      <c r="V328">
        <v>0.06</v>
      </c>
      <c r="W328">
        <v>5.0999999999999996</v>
      </c>
    </row>
    <row r="329" spans="1:25" x14ac:dyDescent="0.3">
      <c r="A329">
        <v>10.633333329999999</v>
      </c>
      <c r="B329">
        <v>2014</v>
      </c>
      <c r="C329">
        <v>10</v>
      </c>
      <c r="D329">
        <v>19</v>
      </c>
      <c r="E329" t="s">
        <v>43</v>
      </c>
      <c r="G329">
        <v>7.5999999999999998E-2</v>
      </c>
      <c r="H329">
        <v>3.2000000000000001E-2</v>
      </c>
      <c r="I329">
        <v>6.03</v>
      </c>
      <c r="J329">
        <v>0.85</v>
      </c>
      <c r="K329">
        <v>0.64</v>
      </c>
      <c r="L329">
        <v>0.1</v>
      </c>
      <c r="M329">
        <v>20.3</v>
      </c>
      <c r="N329">
        <v>7.1</v>
      </c>
      <c r="S329">
        <v>33.6</v>
      </c>
      <c r="T329">
        <v>13.5</v>
      </c>
      <c r="U329">
        <v>1.1599999999999999</v>
      </c>
      <c r="V329">
        <v>0.09</v>
      </c>
    </row>
    <row r="330" spans="1:25" x14ac:dyDescent="0.3">
      <c r="A330">
        <v>10.633333329999999</v>
      </c>
      <c r="B330">
        <v>2014</v>
      </c>
      <c r="C330">
        <v>10</v>
      </c>
      <c r="D330">
        <v>19</v>
      </c>
      <c r="E330" t="s">
        <v>43</v>
      </c>
      <c r="G330">
        <v>7.5999999999999998E-2</v>
      </c>
      <c r="H330">
        <v>3.4000000000000002E-2</v>
      </c>
      <c r="I330">
        <v>5.14</v>
      </c>
      <c r="J330">
        <v>1.3</v>
      </c>
      <c r="K330">
        <v>0.54</v>
      </c>
      <c r="L330">
        <v>0.1</v>
      </c>
      <c r="M330">
        <v>20.2</v>
      </c>
      <c r="N330">
        <v>5</v>
      </c>
      <c r="S330">
        <v>42.8</v>
      </c>
      <c r="T330">
        <v>8.1999999999999993</v>
      </c>
      <c r="U330">
        <v>1.67</v>
      </c>
      <c r="V330">
        <v>0.04</v>
      </c>
    </row>
    <row r="331" spans="1:25" x14ac:dyDescent="0.3">
      <c r="A331">
        <v>10.46666667</v>
      </c>
      <c r="B331">
        <v>2015</v>
      </c>
      <c r="C331">
        <v>10</v>
      </c>
      <c r="D331">
        <v>14</v>
      </c>
      <c r="E331" t="s">
        <v>43</v>
      </c>
      <c r="F331">
        <v>6</v>
      </c>
      <c r="G331">
        <v>6.4000000000000001E-2</v>
      </c>
      <c r="H331">
        <v>0.01</v>
      </c>
      <c r="I331">
        <v>10</v>
      </c>
      <c r="J331">
        <v>1.5</v>
      </c>
      <c r="K331">
        <v>0.86</v>
      </c>
      <c r="L331">
        <v>0.16</v>
      </c>
      <c r="M331">
        <v>16.2</v>
      </c>
      <c r="N331">
        <v>1.5</v>
      </c>
      <c r="O331">
        <v>199</v>
      </c>
      <c r="P331">
        <v>257</v>
      </c>
      <c r="Q331">
        <v>289</v>
      </c>
      <c r="R331">
        <v>26</v>
      </c>
      <c r="S331">
        <v>52.9</v>
      </c>
      <c r="T331">
        <v>11.2</v>
      </c>
      <c r="U331">
        <v>0.92</v>
      </c>
      <c r="V331">
        <v>0.03</v>
      </c>
      <c r="W331">
        <v>4.7</v>
      </c>
    </row>
    <row r="332" spans="1:25" x14ac:dyDescent="0.3">
      <c r="A332">
        <v>10.33333333</v>
      </c>
      <c r="B332">
        <v>2016</v>
      </c>
      <c r="C332">
        <v>10</v>
      </c>
      <c r="D332">
        <v>10</v>
      </c>
      <c r="E332" t="s">
        <v>43</v>
      </c>
      <c r="F332">
        <v>4</v>
      </c>
      <c r="G332">
        <v>6.2E-2</v>
      </c>
      <c r="H332">
        <v>0.03</v>
      </c>
      <c r="I332">
        <v>9.06</v>
      </c>
      <c r="J332">
        <v>5.0599999999999996</v>
      </c>
      <c r="K332">
        <v>0.84</v>
      </c>
      <c r="L332">
        <v>0.19</v>
      </c>
      <c r="M332">
        <v>13</v>
      </c>
      <c r="N332">
        <v>5.3</v>
      </c>
      <c r="O332">
        <v>213</v>
      </c>
      <c r="P332">
        <v>273</v>
      </c>
      <c r="Q332">
        <v>299</v>
      </c>
      <c r="S332">
        <v>66.7</v>
      </c>
      <c r="T332">
        <v>12.2</v>
      </c>
      <c r="U332">
        <v>0.67</v>
      </c>
      <c r="V332">
        <v>0.05</v>
      </c>
      <c r="W332">
        <v>3.3</v>
      </c>
    </row>
    <row r="333" spans="1:25" x14ac:dyDescent="0.3">
      <c r="A333">
        <v>10.366666670000001</v>
      </c>
      <c r="B333">
        <v>2016</v>
      </c>
      <c r="C333">
        <v>10</v>
      </c>
      <c r="D333">
        <v>11</v>
      </c>
      <c r="E333" t="s">
        <v>43</v>
      </c>
      <c r="F333">
        <v>4</v>
      </c>
      <c r="G333">
        <v>5.0999999999999997E-2</v>
      </c>
      <c r="H333">
        <v>1.2999999999999999E-2</v>
      </c>
      <c r="I333">
        <v>2.98</v>
      </c>
      <c r="J333">
        <v>0.04</v>
      </c>
      <c r="K333">
        <v>0.49</v>
      </c>
      <c r="L333">
        <v>0.05</v>
      </c>
      <c r="M333">
        <v>22.2</v>
      </c>
      <c r="N333">
        <v>2.6</v>
      </c>
      <c r="O333">
        <v>282</v>
      </c>
      <c r="P333">
        <v>300</v>
      </c>
      <c r="Q333">
        <v>314</v>
      </c>
      <c r="S333">
        <v>39.5</v>
      </c>
      <c r="T333">
        <v>2.8</v>
      </c>
      <c r="U333">
        <v>1.1299999999999999</v>
      </c>
      <c r="V333">
        <v>0.03</v>
      </c>
      <c r="W333">
        <v>6.9</v>
      </c>
    </row>
    <row r="334" spans="1:25" x14ac:dyDescent="0.3">
      <c r="A334">
        <v>10.4</v>
      </c>
      <c r="B334">
        <v>2016</v>
      </c>
      <c r="C334">
        <v>10</v>
      </c>
      <c r="D334">
        <v>12</v>
      </c>
      <c r="E334" t="s">
        <v>43</v>
      </c>
      <c r="F334">
        <v>15</v>
      </c>
      <c r="G334">
        <v>0.04</v>
      </c>
      <c r="H334">
        <v>1.7000000000000001E-2</v>
      </c>
      <c r="I334">
        <v>5.63</v>
      </c>
      <c r="J334">
        <v>1.45</v>
      </c>
      <c r="K334">
        <v>0.6</v>
      </c>
      <c r="L334">
        <v>0.06</v>
      </c>
      <c r="M334">
        <v>11.9</v>
      </c>
      <c r="N334">
        <v>3.4</v>
      </c>
      <c r="S334">
        <v>48.4</v>
      </c>
      <c r="T334">
        <v>9.1999999999999993</v>
      </c>
      <c r="U334">
        <v>1.28</v>
      </c>
      <c r="V334">
        <v>0.15</v>
      </c>
    </row>
    <row r="335" spans="1:25" x14ac:dyDescent="0.3">
      <c r="A335">
        <v>10.366666670000001</v>
      </c>
      <c r="B335">
        <v>2016</v>
      </c>
      <c r="C335">
        <v>10</v>
      </c>
      <c r="D335">
        <v>11</v>
      </c>
      <c r="E335" t="s">
        <v>43</v>
      </c>
      <c r="F335">
        <v>5</v>
      </c>
      <c r="G335">
        <v>3.1E-2</v>
      </c>
      <c r="H335">
        <v>0.02</v>
      </c>
      <c r="I335">
        <v>8.74</v>
      </c>
      <c r="J335">
        <v>3.19</v>
      </c>
      <c r="K335">
        <v>0.72</v>
      </c>
      <c r="L335">
        <v>0.28999999999999998</v>
      </c>
      <c r="M335">
        <v>7.7</v>
      </c>
      <c r="N335">
        <v>1.9</v>
      </c>
      <c r="S335">
        <v>47.7</v>
      </c>
      <c r="T335">
        <v>7.7</v>
      </c>
      <c r="U335">
        <v>0.69</v>
      </c>
      <c r="V335">
        <v>0.03</v>
      </c>
    </row>
    <row r="336" spans="1:25" x14ac:dyDescent="0.3">
      <c r="A336">
        <v>10.4</v>
      </c>
      <c r="B336">
        <v>2016</v>
      </c>
      <c r="C336">
        <v>10</v>
      </c>
      <c r="D336">
        <v>12</v>
      </c>
      <c r="E336" t="s">
        <v>43</v>
      </c>
      <c r="F336">
        <v>6</v>
      </c>
      <c r="G336">
        <v>2.9000000000000001E-2</v>
      </c>
      <c r="H336">
        <v>1.2E-2</v>
      </c>
      <c r="I336">
        <v>7.85</v>
      </c>
      <c r="J336">
        <v>1.29</v>
      </c>
      <c r="K336">
        <v>0.72</v>
      </c>
      <c r="L336">
        <v>0.17</v>
      </c>
      <c r="M336">
        <v>6.7</v>
      </c>
      <c r="N336">
        <v>1.9</v>
      </c>
      <c r="S336">
        <v>58.2</v>
      </c>
      <c r="T336">
        <v>11.6</v>
      </c>
      <c r="U336">
        <v>0.67</v>
      </c>
      <c r="V336">
        <v>0.04</v>
      </c>
    </row>
    <row r="337" spans="1:25" x14ac:dyDescent="0.3">
      <c r="A337">
        <v>10.4</v>
      </c>
      <c r="B337">
        <v>2016</v>
      </c>
      <c r="C337">
        <v>10</v>
      </c>
      <c r="D337">
        <v>12</v>
      </c>
      <c r="E337" t="s">
        <v>43</v>
      </c>
      <c r="F337">
        <v>5</v>
      </c>
      <c r="G337">
        <v>2.5000000000000001E-2</v>
      </c>
      <c r="H337">
        <v>8.0000000000000002E-3</v>
      </c>
      <c r="I337">
        <v>4.25</v>
      </c>
      <c r="J337">
        <v>2.39</v>
      </c>
      <c r="K337">
        <v>0.55000000000000004</v>
      </c>
      <c r="L337">
        <v>0.1</v>
      </c>
      <c r="M337">
        <v>9.6</v>
      </c>
      <c r="N337">
        <v>1.9</v>
      </c>
      <c r="S337">
        <v>61.3</v>
      </c>
      <c r="T337">
        <v>9</v>
      </c>
      <c r="U337">
        <v>0.77</v>
      </c>
      <c r="V337">
        <v>0.05</v>
      </c>
    </row>
    <row r="338" spans="1:25" x14ac:dyDescent="0.3">
      <c r="A338">
        <v>10.56666667</v>
      </c>
      <c r="B338">
        <v>2014</v>
      </c>
      <c r="C338">
        <v>10</v>
      </c>
      <c r="D338">
        <v>17</v>
      </c>
      <c r="E338" t="s">
        <v>43</v>
      </c>
      <c r="S338">
        <v>44.2</v>
      </c>
      <c r="T338">
        <v>8.9</v>
      </c>
      <c r="U338">
        <v>1.08</v>
      </c>
      <c r="V338">
        <v>0.08</v>
      </c>
    </row>
    <row r="339" spans="1:25" x14ac:dyDescent="0.3">
      <c r="A339">
        <v>10.56666667</v>
      </c>
      <c r="B339">
        <v>2014</v>
      </c>
      <c r="C339">
        <v>10</v>
      </c>
      <c r="D339">
        <v>17</v>
      </c>
      <c r="E339" t="s">
        <v>43</v>
      </c>
      <c r="S339">
        <v>36</v>
      </c>
      <c r="T339">
        <v>7.2</v>
      </c>
      <c r="U339">
        <v>0.93</v>
      </c>
      <c r="V339">
        <v>0.06</v>
      </c>
    </row>
    <row r="340" spans="1:25" x14ac:dyDescent="0.3">
      <c r="A340">
        <v>10.16666667</v>
      </c>
      <c r="B340">
        <v>2014</v>
      </c>
      <c r="C340">
        <v>10</v>
      </c>
      <c r="D340">
        <v>5</v>
      </c>
      <c r="E340" t="s">
        <v>43</v>
      </c>
      <c r="R340">
        <v>12</v>
      </c>
    </row>
    <row r="341" spans="1:25" x14ac:dyDescent="0.3">
      <c r="A341">
        <v>10.633333329999999</v>
      </c>
      <c r="B341">
        <v>2014</v>
      </c>
      <c r="C341">
        <v>10</v>
      </c>
      <c r="D341">
        <v>19</v>
      </c>
      <c r="E341" t="s">
        <v>43</v>
      </c>
      <c r="S341">
        <v>89.3</v>
      </c>
      <c r="T341">
        <v>24.2</v>
      </c>
      <c r="U341">
        <v>0.45</v>
      </c>
      <c r="V341">
        <v>0.06</v>
      </c>
    </row>
    <row r="342" spans="1:25" x14ac:dyDescent="0.3">
      <c r="A342">
        <v>10.3</v>
      </c>
      <c r="B342">
        <v>2014</v>
      </c>
      <c r="C342">
        <v>10</v>
      </c>
      <c r="D342">
        <v>9</v>
      </c>
      <c r="E342" t="s">
        <v>43</v>
      </c>
      <c r="R342">
        <v>12</v>
      </c>
    </row>
    <row r="343" spans="1:25" x14ac:dyDescent="0.3">
      <c r="A343">
        <v>10.56666667</v>
      </c>
      <c r="B343">
        <v>2014</v>
      </c>
      <c r="C343">
        <v>10</v>
      </c>
      <c r="D343">
        <v>17</v>
      </c>
      <c r="E343" t="s">
        <v>43</v>
      </c>
      <c r="S343">
        <v>51.3</v>
      </c>
      <c r="T343">
        <v>14.6</v>
      </c>
      <c r="U343">
        <v>0.66</v>
      </c>
      <c r="V343">
        <v>0.09</v>
      </c>
    </row>
    <row r="344" spans="1:25" x14ac:dyDescent="0.3">
      <c r="A344">
        <v>10.56666667</v>
      </c>
      <c r="B344">
        <v>2014</v>
      </c>
      <c r="C344">
        <v>10</v>
      </c>
      <c r="D344">
        <v>17</v>
      </c>
      <c r="E344" t="s">
        <v>43</v>
      </c>
      <c r="S344">
        <v>52.1</v>
      </c>
      <c r="T344">
        <v>10.7</v>
      </c>
      <c r="U344">
        <v>0.69</v>
      </c>
      <c r="V344">
        <v>0.05</v>
      </c>
    </row>
    <row r="345" spans="1:25" x14ac:dyDescent="0.3">
      <c r="A345">
        <v>10.633333329999999</v>
      </c>
      <c r="B345">
        <v>2014</v>
      </c>
      <c r="C345">
        <v>10</v>
      </c>
      <c r="D345">
        <v>19</v>
      </c>
      <c r="E345" t="s">
        <v>43</v>
      </c>
      <c r="S345">
        <v>39.6</v>
      </c>
      <c r="T345">
        <v>7.7</v>
      </c>
      <c r="U345">
        <v>0.92</v>
      </c>
      <c r="V345">
        <v>0.04</v>
      </c>
    </row>
    <row r="346" spans="1:25" x14ac:dyDescent="0.3">
      <c r="A346">
        <v>10.83333333</v>
      </c>
      <c r="B346">
        <v>2016</v>
      </c>
      <c r="C346">
        <v>10</v>
      </c>
      <c r="D346">
        <v>25</v>
      </c>
      <c r="E346" t="s">
        <v>43</v>
      </c>
      <c r="X346">
        <v>47.3</v>
      </c>
      <c r="Y346">
        <v>3.9</v>
      </c>
    </row>
    <row r="347" spans="1:25" x14ac:dyDescent="0.3">
      <c r="A347">
        <v>10.199999999999999</v>
      </c>
      <c r="B347">
        <v>2016</v>
      </c>
      <c r="C347">
        <v>10</v>
      </c>
      <c r="D347">
        <v>6</v>
      </c>
      <c r="E347" t="s">
        <v>43</v>
      </c>
      <c r="X347">
        <v>53.2</v>
      </c>
      <c r="Y347">
        <v>5.4</v>
      </c>
    </row>
    <row r="348" spans="1:25" x14ac:dyDescent="0.3">
      <c r="A348">
        <v>10.633333329999999</v>
      </c>
      <c r="B348">
        <v>2014</v>
      </c>
      <c r="C348">
        <v>10</v>
      </c>
      <c r="D348">
        <v>19</v>
      </c>
      <c r="E348" t="s">
        <v>43</v>
      </c>
      <c r="S348">
        <v>56.2</v>
      </c>
      <c r="T348">
        <v>11.5</v>
      </c>
      <c r="U348">
        <v>0.89</v>
      </c>
      <c r="V348">
        <v>0.06</v>
      </c>
    </row>
    <row r="349" spans="1:25" x14ac:dyDescent="0.3">
      <c r="A349">
        <v>10.199999999999999</v>
      </c>
      <c r="B349">
        <v>2016</v>
      </c>
      <c r="C349">
        <v>10</v>
      </c>
      <c r="D349">
        <v>6</v>
      </c>
      <c r="E349" t="s">
        <v>43</v>
      </c>
      <c r="X349">
        <v>21.8</v>
      </c>
      <c r="Y349">
        <v>12</v>
      </c>
    </row>
    <row r="350" spans="1:25" x14ac:dyDescent="0.3">
      <c r="A350">
        <v>10.3</v>
      </c>
      <c r="B350">
        <v>2014</v>
      </c>
      <c r="C350">
        <v>10</v>
      </c>
      <c r="D350">
        <v>9</v>
      </c>
      <c r="E350" t="s">
        <v>43</v>
      </c>
      <c r="R350">
        <v>15</v>
      </c>
    </row>
    <row r="351" spans="1:25" x14ac:dyDescent="0.3">
      <c r="A351">
        <v>10.199999999999999</v>
      </c>
      <c r="B351">
        <v>2016</v>
      </c>
      <c r="C351">
        <v>10</v>
      </c>
      <c r="D351">
        <v>6</v>
      </c>
      <c r="E351" t="s">
        <v>43</v>
      </c>
      <c r="X351">
        <v>10.6</v>
      </c>
      <c r="Y351">
        <v>2.5</v>
      </c>
    </row>
    <row r="352" spans="1:25" x14ac:dyDescent="0.3">
      <c r="A352">
        <v>10.199999999999999</v>
      </c>
      <c r="B352">
        <v>2016</v>
      </c>
      <c r="C352">
        <v>10</v>
      </c>
      <c r="D352">
        <v>6</v>
      </c>
      <c r="E352" t="s">
        <v>43</v>
      </c>
      <c r="X352">
        <v>4.0999999999999996</v>
      </c>
      <c r="Y352">
        <v>2</v>
      </c>
    </row>
    <row r="353" spans="1:25" x14ac:dyDescent="0.3">
      <c r="A353">
        <v>10.56666667</v>
      </c>
      <c r="B353">
        <v>2016</v>
      </c>
      <c r="C353">
        <v>10</v>
      </c>
      <c r="D353">
        <v>17</v>
      </c>
      <c r="E353" t="s">
        <v>43</v>
      </c>
      <c r="X353">
        <v>8.6</v>
      </c>
      <c r="Y353">
        <v>4.3</v>
      </c>
    </row>
    <row r="354" spans="1:25" x14ac:dyDescent="0.3">
      <c r="A354">
        <v>10.3</v>
      </c>
      <c r="B354">
        <v>2014</v>
      </c>
      <c r="C354">
        <v>10</v>
      </c>
      <c r="D354">
        <v>9</v>
      </c>
      <c r="E354" t="s">
        <v>43</v>
      </c>
      <c r="O354">
        <v>239</v>
      </c>
      <c r="P354">
        <v>286</v>
      </c>
      <c r="Q354">
        <v>301</v>
      </c>
      <c r="W354">
        <v>2.2999999999999998</v>
      </c>
    </row>
    <row r="355" spans="1:25" x14ac:dyDescent="0.3">
      <c r="A355">
        <v>10.633333329999999</v>
      </c>
      <c r="B355">
        <v>2014</v>
      </c>
      <c r="C355">
        <v>10</v>
      </c>
      <c r="D355">
        <v>19</v>
      </c>
      <c r="E355" t="s">
        <v>43</v>
      </c>
      <c r="S355">
        <v>37.6</v>
      </c>
      <c r="T355">
        <v>11.9</v>
      </c>
      <c r="U355">
        <v>0.82</v>
      </c>
      <c r="V355">
        <v>0.1</v>
      </c>
    </row>
    <row r="356" spans="1:25" x14ac:dyDescent="0.3">
      <c r="A356">
        <v>10.733333330000001</v>
      </c>
      <c r="B356">
        <v>2016</v>
      </c>
      <c r="C356">
        <v>10</v>
      </c>
      <c r="D356">
        <v>22</v>
      </c>
      <c r="E356" t="s">
        <v>43</v>
      </c>
      <c r="X356">
        <v>35.5</v>
      </c>
      <c r="Y356">
        <v>5.7</v>
      </c>
    </row>
    <row r="357" spans="1:25" x14ac:dyDescent="0.3">
      <c r="A357">
        <v>10.133333329999999</v>
      </c>
      <c r="B357">
        <v>2016</v>
      </c>
      <c r="C357">
        <v>10</v>
      </c>
      <c r="D357">
        <v>4</v>
      </c>
      <c r="E357" t="s">
        <v>43</v>
      </c>
      <c r="X357">
        <v>33.5</v>
      </c>
      <c r="Y357">
        <v>9.4</v>
      </c>
    </row>
    <row r="358" spans="1:25" x14ac:dyDescent="0.3">
      <c r="A358">
        <v>11.06666667</v>
      </c>
      <c r="B358">
        <v>2016</v>
      </c>
      <c r="C358">
        <v>11</v>
      </c>
      <c r="D358">
        <v>2</v>
      </c>
      <c r="E358" t="s">
        <v>45</v>
      </c>
      <c r="G358">
        <v>0.246</v>
      </c>
      <c r="H358">
        <v>2.4E-2</v>
      </c>
      <c r="I358">
        <v>15.7</v>
      </c>
      <c r="J358">
        <v>3.08</v>
      </c>
      <c r="K358">
        <v>2.2200000000000002</v>
      </c>
      <c r="L358">
        <v>0.15</v>
      </c>
      <c r="M358">
        <v>21.5</v>
      </c>
      <c r="N358">
        <v>1.3</v>
      </c>
      <c r="R358">
        <v>15</v>
      </c>
      <c r="S358">
        <v>42.6</v>
      </c>
      <c r="T358">
        <v>4.9000000000000004</v>
      </c>
      <c r="U358">
        <v>2.2599999999999998</v>
      </c>
      <c r="V358">
        <v>0.06</v>
      </c>
      <c r="X358">
        <v>46</v>
      </c>
      <c r="Y358">
        <v>1.2</v>
      </c>
    </row>
    <row r="359" spans="1:25" x14ac:dyDescent="0.3">
      <c r="A359">
        <v>11.06666667</v>
      </c>
      <c r="B359">
        <v>2016</v>
      </c>
      <c r="C359">
        <v>11</v>
      </c>
      <c r="D359">
        <v>2</v>
      </c>
      <c r="E359" t="s">
        <v>45</v>
      </c>
      <c r="G359">
        <v>9.1999999999999998E-2</v>
      </c>
      <c r="H359">
        <v>2.4E-2</v>
      </c>
      <c r="I359">
        <v>9.0500000000000007</v>
      </c>
      <c r="J359">
        <v>2.08</v>
      </c>
      <c r="K359">
        <v>1.1200000000000001</v>
      </c>
      <c r="L359">
        <v>0.14000000000000001</v>
      </c>
      <c r="M359">
        <v>16.899999999999999</v>
      </c>
      <c r="N359">
        <v>2.7</v>
      </c>
      <c r="O359">
        <v>239</v>
      </c>
      <c r="P359">
        <v>285</v>
      </c>
      <c r="Q359">
        <v>304</v>
      </c>
      <c r="R359">
        <v>15</v>
      </c>
      <c r="S359">
        <v>52.6</v>
      </c>
      <c r="T359">
        <v>10.9</v>
      </c>
      <c r="U359">
        <v>2.68</v>
      </c>
      <c r="V359">
        <v>0.03</v>
      </c>
      <c r="W359">
        <v>5.0999999999999996</v>
      </c>
    </row>
    <row r="360" spans="1:25" x14ac:dyDescent="0.3">
      <c r="A360">
        <v>11.06666667</v>
      </c>
      <c r="B360">
        <v>2016</v>
      </c>
      <c r="C360">
        <v>11</v>
      </c>
      <c r="D360">
        <v>2</v>
      </c>
      <c r="E360" t="s">
        <v>45</v>
      </c>
      <c r="O360">
        <v>212</v>
      </c>
      <c r="P360">
        <v>275</v>
      </c>
      <c r="Q360">
        <v>297</v>
      </c>
      <c r="R360">
        <v>16</v>
      </c>
      <c r="S360">
        <v>40</v>
      </c>
      <c r="T360">
        <v>18.600000000000001</v>
      </c>
      <c r="U360">
        <v>2.08</v>
      </c>
      <c r="V360">
        <v>0.37</v>
      </c>
      <c r="W360">
        <v>9.9</v>
      </c>
    </row>
    <row r="361" spans="1:25" x14ac:dyDescent="0.3">
      <c r="A361">
        <v>11.66666667</v>
      </c>
      <c r="B361">
        <v>2015</v>
      </c>
      <c r="C361">
        <v>11</v>
      </c>
      <c r="D361">
        <v>20</v>
      </c>
      <c r="E361" t="s">
        <v>43</v>
      </c>
      <c r="F361">
        <v>18</v>
      </c>
      <c r="G361">
        <v>0.17899999999999999</v>
      </c>
      <c r="H361">
        <v>3.5000000000000003E-2</v>
      </c>
      <c r="I361">
        <v>11.7</v>
      </c>
      <c r="J361">
        <v>1.9</v>
      </c>
      <c r="K361">
        <v>1.48</v>
      </c>
      <c r="L361">
        <v>0.28000000000000003</v>
      </c>
      <c r="M361">
        <v>22.7</v>
      </c>
      <c r="N361">
        <v>0.9</v>
      </c>
      <c r="O361">
        <v>246</v>
      </c>
      <c r="P361">
        <v>288</v>
      </c>
      <c r="Q361">
        <v>306</v>
      </c>
      <c r="R361">
        <v>20</v>
      </c>
      <c r="S361">
        <v>38.299999999999997</v>
      </c>
      <c r="T361">
        <v>9.1</v>
      </c>
      <c r="U361">
        <v>4.55</v>
      </c>
      <c r="V361">
        <v>7.0000000000000007E-2</v>
      </c>
      <c r="W361">
        <v>7.3</v>
      </c>
      <c r="X361">
        <v>48.4</v>
      </c>
      <c r="Y361">
        <v>10.1</v>
      </c>
    </row>
    <row r="362" spans="1:25" x14ac:dyDescent="0.3">
      <c r="A362">
        <v>11.633333329999999</v>
      </c>
      <c r="B362">
        <v>2015</v>
      </c>
      <c r="C362">
        <v>11</v>
      </c>
      <c r="D362">
        <v>19</v>
      </c>
      <c r="E362" t="s">
        <v>43</v>
      </c>
      <c r="F362">
        <v>7</v>
      </c>
      <c r="G362">
        <v>0.17399999999999999</v>
      </c>
      <c r="H362">
        <v>0.06</v>
      </c>
      <c r="I362">
        <v>16.399999999999999</v>
      </c>
      <c r="J362">
        <v>3.5</v>
      </c>
      <c r="K362">
        <v>1.87</v>
      </c>
      <c r="L362">
        <v>0.19</v>
      </c>
      <c r="M362">
        <v>18.7</v>
      </c>
      <c r="N362">
        <v>6</v>
      </c>
      <c r="S362">
        <v>66.8</v>
      </c>
      <c r="T362">
        <v>9.1</v>
      </c>
      <c r="U362">
        <v>0.33</v>
      </c>
      <c r="V362">
        <v>0.02</v>
      </c>
    </row>
    <row r="363" spans="1:25" x14ac:dyDescent="0.3">
      <c r="A363">
        <v>11.633333329999999</v>
      </c>
      <c r="B363">
        <v>2015</v>
      </c>
      <c r="C363">
        <v>11</v>
      </c>
      <c r="D363">
        <v>19</v>
      </c>
      <c r="E363" t="s">
        <v>43</v>
      </c>
      <c r="F363">
        <v>7</v>
      </c>
      <c r="G363">
        <v>0.16500000000000001</v>
      </c>
      <c r="H363">
        <v>3.5000000000000003E-2</v>
      </c>
      <c r="I363">
        <v>9.5</v>
      </c>
      <c r="J363">
        <v>2.4</v>
      </c>
      <c r="K363">
        <v>1.31</v>
      </c>
      <c r="L363">
        <v>0.26</v>
      </c>
      <c r="M363">
        <v>25.1</v>
      </c>
      <c r="N363">
        <v>5.9</v>
      </c>
      <c r="R363">
        <v>19</v>
      </c>
      <c r="S363">
        <v>31.6</v>
      </c>
      <c r="T363">
        <v>10.3</v>
      </c>
      <c r="U363">
        <v>1.63</v>
      </c>
      <c r="V363">
        <v>0.27</v>
      </c>
      <c r="X363">
        <v>27.3</v>
      </c>
      <c r="Y363">
        <v>4.5999999999999996</v>
      </c>
    </row>
    <row r="364" spans="1:25" x14ac:dyDescent="0.3">
      <c r="A364">
        <v>11.233333330000001</v>
      </c>
      <c r="B364">
        <v>2016</v>
      </c>
      <c r="C364">
        <v>11</v>
      </c>
      <c r="D364">
        <v>7</v>
      </c>
      <c r="E364" t="s">
        <v>43</v>
      </c>
      <c r="F364">
        <v>4</v>
      </c>
      <c r="G364">
        <v>0.14000000000000001</v>
      </c>
      <c r="H364">
        <v>5.0999999999999997E-2</v>
      </c>
      <c r="I364">
        <v>2.44</v>
      </c>
      <c r="J364">
        <v>0.63</v>
      </c>
      <c r="K364">
        <v>1.23</v>
      </c>
      <c r="L364">
        <v>0.17</v>
      </c>
      <c r="M364">
        <v>30.9</v>
      </c>
      <c r="N364">
        <v>7.4</v>
      </c>
      <c r="O364">
        <v>189</v>
      </c>
      <c r="P364">
        <v>207</v>
      </c>
      <c r="Q364">
        <v>261</v>
      </c>
      <c r="R364">
        <v>19</v>
      </c>
      <c r="S364">
        <v>72.7</v>
      </c>
      <c r="T364">
        <v>9.1</v>
      </c>
      <c r="U364">
        <v>0.65</v>
      </c>
      <c r="V364">
        <v>0.04</v>
      </c>
      <c r="W364">
        <v>3.9</v>
      </c>
    </row>
    <row r="365" spans="1:25" x14ac:dyDescent="0.3">
      <c r="A365">
        <v>11.66666667</v>
      </c>
      <c r="B365">
        <v>2015</v>
      </c>
      <c r="C365">
        <v>11</v>
      </c>
      <c r="D365">
        <v>20</v>
      </c>
      <c r="E365" t="s">
        <v>43</v>
      </c>
      <c r="F365">
        <v>8</v>
      </c>
      <c r="G365">
        <v>0.127</v>
      </c>
      <c r="H365">
        <v>3.7999999999999999E-2</v>
      </c>
      <c r="I365">
        <v>6.85</v>
      </c>
      <c r="J365">
        <v>2.2999999999999998</v>
      </c>
      <c r="K365">
        <v>1.03</v>
      </c>
      <c r="L365">
        <v>0.24</v>
      </c>
      <c r="M365">
        <v>25.3</v>
      </c>
      <c r="N365">
        <v>2.4</v>
      </c>
      <c r="O365">
        <v>250</v>
      </c>
      <c r="P365">
        <v>295</v>
      </c>
      <c r="Q365">
        <v>316</v>
      </c>
      <c r="R365">
        <v>30</v>
      </c>
      <c r="S365">
        <v>31.1</v>
      </c>
      <c r="T365">
        <v>6.5</v>
      </c>
      <c r="U365">
        <v>2.7</v>
      </c>
      <c r="V365">
        <v>0.39</v>
      </c>
      <c r="W365">
        <v>1.9</v>
      </c>
      <c r="X365">
        <v>37.299999999999997</v>
      </c>
      <c r="Y365">
        <v>4.7</v>
      </c>
    </row>
    <row r="366" spans="1:25" x14ac:dyDescent="0.3">
      <c r="A366">
        <v>11.66666667</v>
      </c>
      <c r="B366">
        <v>2015</v>
      </c>
      <c r="C366">
        <v>11</v>
      </c>
      <c r="D366">
        <v>20</v>
      </c>
      <c r="E366" t="s">
        <v>43</v>
      </c>
      <c r="F366">
        <v>12</v>
      </c>
      <c r="G366">
        <v>0.114</v>
      </c>
      <c r="H366">
        <v>0.04</v>
      </c>
      <c r="I366">
        <v>13.7</v>
      </c>
      <c r="J366">
        <v>1.5</v>
      </c>
      <c r="K366">
        <v>1.35</v>
      </c>
      <c r="L366">
        <v>0.15</v>
      </c>
      <c r="M366">
        <v>16.5</v>
      </c>
      <c r="N366">
        <v>4.5</v>
      </c>
      <c r="R366">
        <v>21</v>
      </c>
      <c r="S366">
        <v>36.299999999999997</v>
      </c>
      <c r="T366">
        <v>12.8</v>
      </c>
      <c r="U366">
        <v>0.81</v>
      </c>
      <c r="V366">
        <v>7.0000000000000007E-2</v>
      </c>
    </row>
    <row r="367" spans="1:25" x14ac:dyDescent="0.3">
      <c r="A367">
        <v>11.633333329999999</v>
      </c>
      <c r="B367">
        <v>2015</v>
      </c>
      <c r="C367">
        <v>11</v>
      </c>
      <c r="D367">
        <v>19</v>
      </c>
      <c r="E367" t="s">
        <v>43</v>
      </c>
      <c r="F367">
        <v>4</v>
      </c>
      <c r="G367">
        <v>9.5000000000000001E-2</v>
      </c>
      <c r="H367">
        <v>2.1999999999999999E-2</v>
      </c>
      <c r="I367">
        <v>8.1</v>
      </c>
      <c r="J367">
        <v>3.7</v>
      </c>
      <c r="K367">
        <v>0.81</v>
      </c>
      <c r="L367">
        <v>0.1</v>
      </c>
      <c r="M367">
        <v>20.8</v>
      </c>
      <c r="N367">
        <v>3.4</v>
      </c>
      <c r="S367">
        <v>47.9</v>
      </c>
      <c r="T367">
        <v>7.9</v>
      </c>
      <c r="U367">
        <v>0.89</v>
      </c>
      <c r="V367">
        <v>0.06</v>
      </c>
    </row>
    <row r="368" spans="1:25" x14ac:dyDescent="0.3">
      <c r="A368">
        <v>11.66666667</v>
      </c>
      <c r="B368">
        <v>2015</v>
      </c>
      <c r="C368">
        <v>11</v>
      </c>
      <c r="D368">
        <v>20</v>
      </c>
      <c r="E368" t="s">
        <v>43</v>
      </c>
      <c r="F368">
        <v>6</v>
      </c>
      <c r="G368">
        <v>9.2999999999999999E-2</v>
      </c>
      <c r="H368">
        <v>2.5999999999999999E-2</v>
      </c>
      <c r="I368">
        <v>7.1</v>
      </c>
      <c r="J368">
        <v>0.47</v>
      </c>
      <c r="K368">
        <v>0.99</v>
      </c>
      <c r="L368">
        <v>0.05</v>
      </c>
      <c r="M368">
        <v>20.5</v>
      </c>
      <c r="N368">
        <v>4</v>
      </c>
      <c r="R368">
        <v>18</v>
      </c>
      <c r="S368">
        <v>41.4</v>
      </c>
      <c r="T368">
        <v>2.2999999999999998</v>
      </c>
      <c r="U368">
        <v>1.61</v>
      </c>
      <c r="V368">
        <v>0.04</v>
      </c>
    </row>
    <row r="369" spans="1:25" x14ac:dyDescent="0.3">
      <c r="A369">
        <v>11.233333330000001</v>
      </c>
      <c r="B369">
        <v>2016</v>
      </c>
      <c r="C369">
        <v>11</v>
      </c>
      <c r="D369">
        <v>7</v>
      </c>
      <c r="E369" t="s">
        <v>43</v>
      </c>
      <c r="F369">
        <v>4</v>
      </c>
      <c r="G369">
        <v>8.7999999999999995E-2</v>
      </c>
      <c r="H369">
        <v>2.7E-2</v>
      </c>
      <c r="I369">
        <v>3.41</v>
      </c>
      <c r="J369">
        <v>0.03</v>
      </c>
      <c r="K369">
        <v>0.81</v>
      </c>
      <c r="L369">
        <v>0.19</v>
      </c>
      <c r="M369">
        <v>24.5</v>
      </c>
      <c r="N369">
        <v>1.3</v>
      </c>
      <c r="O369">
        <v>235</v>
      </c>
      <c r="P369">
        <v>282</v>
      </c>
      <c r="Q369">
        <v>305</v>
      </c>
      <c r="R369">
        <v>15</v>
      </c>
      <c r="S369">
        <v>77.900000000000006</v>
      </c>
      <c r="T369">
        <v>14.1</v>
      </c>
      <c r="U369">
        <v>0.64</v>
      </c>
      <c r="V369">
        <v>0.05</v>
      </c>
      <c r="X369">
        <v>31.8</v>
      </c>
      <c r="Y369">
        <v>6.8</v>
      </c>
    </row>
    <row r="370" spans="1:25" x14ac:dyDescent="0.3">
      <c r="A370">
        <v>11.93333333</v>
      </c>
      <c r="B370">
        <v>2016</v>
      </c>
      <c r="C370">
        <v>11</v>
      </c>
      <c r="D370">
        <v>28</v>
      </c>
      <c r="E370" t="s">
        <v>43</v>
      </c>
      <c r="F370">
        <v>5</v>
      </c>
      <c r="G370">
        <v>8.5000000000000006E-2</v>
      </c>
      <c r="H370">
        <v>0.01</v>
      </c>
      <c r="I370">
        <v>4.42</v>
      </c>
      <c r="J370">
        <v>1.17</v>
      </c>
      <c r="K370">
        <v>0.76</v>
      </c>
      <c r="L370">
        <v>0.06</v>
      </c>
      <c r="M370">
        <v>18.5</v>
      </c>
      <c r="N370">
        <v>4.9000000000000004</v>
      </c>
      <c r="R370">
        <v>16</v>
      </c>
      <c r="S370">
        <v>47.8</v>
      </c>
      <c r="T370">
        <v>14.9</v>
      </c>
      <c r="U370">
        <v>0.64</v>
      </c>
      <c r="V370">
        <v>0.02</v>
      </c>
    </row>
    <row r="371" spans="1:25" x14ac:dyDescent="0.3">
      <c r="A371">
        <v>11.66666667</v>
      </c>
      <c r="B371">
        <v>2015</v>
      </c>
      <c r="C371">
        <v>11</v>
      </c>
      <c r="D371">
        <v>20</v>
      </c>
      <c r="E371" t="s">
        <v>43</v>
      </c>
      <c r="F371">
        <v>5</v>
      </c>
      <c r="G371">
        <v>7.0000000000000007E-2</v>
      </c>
      <c r="H371">
        <v>1.9E-2</v>
      </c>
      <c r="I371">
        <v>11.1</v>
      </c>
      <c r="J371">
        <v>3.8</v>
      </c>
      <c r="K371">
        <v>0.78</v>
      </c>
      <c r="L371">
        <v>0.09</v>
      </c>
      <c r="M371">
        <v>13.1</v>
      </c>
      <c r="N371">
        <v>5</v>
      </c>
      <c r="O371">
        <v>187</v>
      </c>
      <c r="P371">
        <v>213</v>
      </c>
      <c r="Q371">
        <v>243</v>
      </c>
      <c r="R371">
        <v>17</v>
      </c>
      <c r="S371">
        <v>47.8</v>
      </c>
      <c r="T371">
        <v>15.5</v>
      </c>
      <c r="U371">
        <v>0.73</v>
      </c>
      <c r="V371">
        <v>7.0000000000000007E-2</v>
      </c>
      <c r="W371">
        <v>13</v>
      </c>
    </row>
    <row r="372" spans="1:25" x14ac:dyDescent="0.3">
      <c r="A372">
        <v>11.233333330000001</v>
      </c>
      <c r="B372">
        <v>2016</v>
      </c>
      <c r="C372">
        <v>11</v>
      </c>
      <c r="D372">
        <v>7</v>
      </c>
      <c r="E372" t="s">
        <v>43</v>
      </c>
      <c r="F372">
        <v>6</v>
      </c>
      <c r="G372">
        <v>7.0000000000000007E-2</v>
      </c>
      <c r="H372">
        <v>3.7999999999999999E-2</v>
      </c>
      <c r="I372">
        <v>10.6</v>
      </c>
      <c r="J372">
        <v>2.81</v>
      </c>
      <c r="K372">
        <v>0.9</v>
      </c>
      <c r="L372">
        <v>0.1</v>
      </c>
      <c r="M372">
        <v>10.8</v>
      </c>
      <c r="N372">
        <v>3.6</v>
      </c>
      <c r="S372">
        <v>36.700000000000003</v>
      </c>
      <c r="T372">
        <v>3.8</v>
      </c>
      <c r="U372">
        <v>0.56999999999999995</v>
      </c>
      <c r="V372">
        <v>0.03</v>
      </c>
    </row>
    <row r="373" spans="1:25" x14ac:dyDescent="0.3">
      <c r="A373">
        <v>11.233333330000001</v>
      </c>
      <c r="B373">
        <v>2016</v>
      </c>
      <c r="C373">
        <v>11</v>
      </c>
      <c r="D373">
        <v>7</v>
      </c>
      <c r="E373" t="s">
        <v>43</v>
      </c>
      <c r="F373">
        <v>7</v>
      </c>
      <c r="G373">
        <v>5.8000000000000003E-2</v>
      </c>
      <c r="H373">
        <v>1.2999999999999999E-2</v>
      </c>
      <c r="I373">
        <v>5.01</v>
      </c>
      <c r="J373">
        <v>1.2</v>
      </c>
      <c r="K373">
        <v>0.91</v>
      </c>
      <c r="L373">
        <v>0.21</v>
      </c>
      <c r="M373">
        <v>13.2</v>
      </c>
      <c r="N373">
        <v>2.8</v>
      </c>
      <c r="O373">
        <v>196</v>
      </c>
      <c r="P373">
        <v>276</v>
      </c>
      <c r="Q373">
        <v>299</v>
      </c>
      <c r="R373">
        <v>16</v>
      </c>
      <c r="S373">
        <v>61.9</v>
      </c>
      <c r="T373">
        <v>12.4</v>
      </c>
      <c r="U373">
        <v>0.68</v>
      </c>
      <c r="V373">
        <v>0.04</v>
      </c>
    </row>
    <row r="374" spans="1:25" x14ac:dyDescent="0.3">
      <c r="A374">
        <v>11.93333333</v>
      </c>
      <c r="B374">
        <v>2016</v>
      </c>
      <c r="C374">
        <v>11</v>
      </c>
      <c r="D374">
        <v>28</v>
      </c>
      <c r="E374" t="s">
        <v>43</v>
      </c>
      <c r="F374">
        <v>7</v>
      </c>
      <c r="G374">
        <v>4.2999999999999997E-2</v>
      </c>
      <c r="H374">
        <v>1.4E-2</v>
      </c>
      <c r="I374">
        <v>2.09</v>
      </c>
      <c r="J374">
        <v>0.61</v>
      </c>
      <c r="K374">
        <v>0.53</v>
      </c>
      <c r="L374">
        <v>0.06</v>
      </c>
      <c r="M374">
        <v>18.399999999999999</v>
      </c>
      <c r="N374">
        <v>3.7</v>
      </c>
      <c r="O374">
        <v>198</v>
      </c>
      <c r="P374">
        <v>245</v>
      </c>
      <c r="Q374">
        <v>277</v>
      </c>
      <c r="R374">
        <v>16</v>
      </c>
      <c r="S374">
        <v>25.7</v>
      </c>
      <c r="T374">
        <v>3.7</v>
      </c>
      <c r="U374">
        <v>0.89</v>
      </c>
      <c r="V374">
        <v>0.03</v>
      </c>
      <c r="W374">
        <v>10.6</v>
      </c>
      <c r="Y374">
        <v>3</v>
      </c>
    </row>
    <row r="375" spans="1:25" x14ac:dyDescent="0.3">
      <c r="A375">
        <v>11.233333330000001</v>
      </c>
      <c r="B375">
        <v>2016</v>
      </c>
      <c r="C375">
        <v>11</v>
      </c>
      <c r="D375">
        <v>7</v>
      </c>
      <c r="E375" t="s">
        <v>43</v>
      </c>
      <c r="F375">
        <v>2</v>
      </c>
      <c r="G375">
        <v>3.5999999999999997E-2</v>
      </c>
      <c r="H375">
        <v>1.2E-2</v>
      </c>
      <c r="I375">
        <v>2.75</v>
      </c>
      <c r="J375">
        <v>0.66</v>
      </c>
      <c r="K375">
        <v>0.65</v>
      </c>
      <c r="L375">
        <v>0.1</v>
      </c>
      <c r="M375">
        <v>14.6</v>
      </c>
      <c r="N375">
        <v>4</v>
      </c>
      <c r="S375">
        <v>42.1</v>
      </c>
      <c r="T375">
        <v>8</v>
      </c>
      <c r="U375">
        <v>0.56000000000000005</v>
      </c>
      <c r="V375">
        <v>0.03</v>
      </c>
    </row>
    <row r="376" spans="1:25" x14ac:dyDescent="0.3">
      <c r="A376">
        <v>11.93333333</v>
      </c>
      <c r="B376">
        <v>2016</v>
      </c>
      <c r="C376">
        <v>11</v>
      </c>
      <c r="D376">
        <v>28</v>
      </c>
      <c r="E376" t="s">
        <v>43</v>
      </c>
      <c r="F376">
        <v>7</v>
      </c>
      <c r="G376">
        <v>2.8000000000000001E-2</v>
      </c>
      <c r="H376">
        <v>8.9999999999999993E-3</v>
      </c>
      <c r="I376">
        <v>2.11</v>
      </c>
      <c r="J376">
        <v>0.81</v>
      </c>
      <c r="K376">
        <v>0.46</v>
      </c>
      <c r="L376">
        <v>0.06</v>
      </c>
      <c r="M376">
        <v>14.7</v>
      </c>
      <c r="N376">
        <v>3.2</v>
      </c>
      <c r="O376">
        <v>193</v>
      </c>
      <c r="P376">
        <v>261</v>
      </c>
      <c r="Q376">
        <v>293</v>
      </c>
      <c r="R376">
        <v>15</v>
      </c>
      <c r="S376">
        <v>68.8</v>
      </c>
      <c r="T376">
        <v>8.3000000000000007</v>
      </c>
      <c r="U376">
        <v>0.7</v>
      </c>
      <c r="V376">
        <v>0.04</v>
      </c>
      <c r="W376">
        <v>11.5</v>
      </c>
    </row>
    <row r="377" spans="1:25" x14ac:dyDescent="0.3">
      <c r="A377">
        <v>11.93333333</v>
      </c>
      <c r="B377">
        <v>2016</v>
      </c>
      <c r="C377">
        <v>11</v>
      </c>
      <c r="D377">
        <v>28</v>
      </c>
      <c r="E377" t="s">
        <v>43</v>
      </c>
      <c r="F377">
        <v>7</v>
      </c>
      <c r="G377">
        <v>1.4E-2</v>
      </c>
      <c r="H377">
        <v>2E-3</v>
      </c>
      <c r="I377">
        <v>5.46</v>
      </c>
      <c r="J377">
        <v>0.86</v>
      </c>
      <c r="K377">
        <v>0.49</v>
      </c>
      <c r="L377">
        <v>0.05</v>
      </c>
      <c r="M377">
        <v>6.9</v>
      </c>
      <c r="N377">
        <v>0.4</v>
      </c>
      <c r="R377">
        <v>20</v>
      </c>
      <c r="S377">
        <v>61.5</v>
      </c>
      <c r="T377">
        <v>10.1</v>
      </c>
      <c r="U377">
        <v>0.77</v>
      </c>
      <c r="V377">
        <v>7.0000000000000007E-2</v>
      </c>
    </row>
    <row r="378" spans="1:25" x14ac:dyDescent="0.3">
      <c r="A378">
        <v>11.93333333</v>
      </c>
      <c r="B378">
        <v>2016</v>
      </c>
      <c r="C378">
        <v>11</v>
      </c>
      <c r="D378">
        <v>28</v>
      </c>
      <c r="E378" t="s">
        <v>43</v>
      </c>
      <c r="F378">
        <v>9</v>
      </c>
      <c r="G378">
        <v>1.4E-2</v>
      </c>
      <c r="H378">
        <v>4.0000000000000001E-3</v>
      </c>
      <c r="I378">
        <v>2.85</v>
      </c>
      <c r="J378">
        <v>0.55000000000000004</v>
      </c>
      <c r="K378">
        <v>0.31</v>
      </c>
      <c r="L378">
        <v>0.06</v>
      </c>
      <c r="M378">
        <v>9.8000000000000007</v>
      </c>
      <c r="N378">
        <v>1.5</v>
      </c>
      <c r="R378">
        <v>22</v>
      </c>
      <c r="S378">
        <v>39</v>
      </c>
      <c r="T378">
        <v>8.5</v>
      </c>
      <c r="U378">
        <v>1.45</v>
      </c>
      <c r="V378">
        <v>0.15</v>
      </c>
    </row>
    <row r="379" spans="1:25" x14ac:dyDescent="0.3">
      <c r="A379">
        <v>11.66666667</v>
      </c>
      <c r="B379">
        <v>2015</v>
      </c>
      <c r="C379">
        <v>11</v>
      </c>
      <c r="D379">
        <v>20</v>
      </c>
      <c r="E379" t="s">
        <v>43</v>
      </c>
      <c r="F379">
        <v>3</v>
      </c>
      <c r="R379">
        <v>19</v>
      </c>
    </row>
    <row r="380" spans="1:25" x14ac:dyDescent="0.3">
      <c r="A380">
        <v>11.266666669999999</v>
      </c>
      <c r="B380">
        <v>2016</v>
      </c>
      <c r="C380">
        <v>11</v>
      </c>
      <c r="D380">
        <v>8</v>
      </c>
      <c r="E380" t="s">
        <v>43</v>
      </c>
      <c r="F380">
        <v>5</v>
      </c>
      <c r="S380">
        <v>34.6</v>
      </c>
      <c r="T380">
        <v>2.1</v>
      </c>
      <c r="U380">
        <v>2.5299999999999998</v>
      </c>
      <c r="V380">
        <v>0.03</v>
      </c>
    </row>
    <row r="381" spans="1:25" x14ac:dyDescent="0.3">
      <c r="A381">
        <v>11.93333333</v>
      </c>
      <c r="B381">
        <v>2016</v>
      </c>
      <c r="C381">
        <v>11</v>
      </c>
      <c r="D381">
        <v>28</v>
      </c>
      <c r="E381" t="s">
        <v>43</v>
      </c>
      <c r="F381">
        <v>2</v>
      </c>
      <c r="S381">
        <v>57.3</v>
      </c>
      <c r="T381">
        <v>22.9</v>
      </c>
      <c r="U381">
        <v>0.59</v>
      </c>
      <c r="V381">
        <v>0.03</v>
      </c>
    </row>
    <row r="382" spans="1:25" x14ac:dyDescent="0.3">
      <c r="A382">
        <v>11.66666667</v>
      </c>
      <c r="B382">
        <v>2016</v>
      </c>
      <c r="C382">
        <v>11</v>
      </c>
      <c r="D382">
        <v>20</v>
      </c>
      <c r="E382" t="s">
        <v>43</v>
      </c>
      <c r="X382">
        <v>6.6</v>
      </c>
      <c r="Y382">
        <v>4.7</v>
      </c>
    </row>
    <row r="383" spans="1:25" x14ac:dyDescent="0.3">
      <c r="A383">
        <v>12.266666669999999</v>
      </c>
      <c r="B383">
        <v>2014</v>
      </c>
      <c r="C383">
        <v>12</v>
      </c>
      <c r="D383">
        <v>8</v>
      </c>
      <c r="E383" t="s">
        <v>43</v>
      </c>
      <c r="G383">
        <v>0.29199999999999998</v>
      </c>
      <c r="H383">
        <v>0.04</v>
      </c>
      <c r="I383">
        <v>7</v>
      </c>
      <c r="J383">
        <v>2.5</v>
      </c>
      <c r="K383">
        <v>1.72</v>
      </c>
      <c r="L383">
        <v>0.33</v>
      </c>
      <c r="M383">
        <v>41.8</v>
      </c>
      <c r="N383">
        <v>6.8</v>
      </c>
      <c r="R383">
        <v>26</v>
      </c>
      <c r="S383">
        <v>39.6</v>
      </c>
      <c r="T383">
        <v>10.4</v>
      </c>
      <c r="U383">
        <v>2.75</v>
      </c>
      <c r="V383">
        <v>0.09</v>
      </c>
    </row>
    <row r="384" spans="1:25" x14ac:dyDescent="0.3">
      <c r="A384">
        <v>12.266666669999999</v>
      </c>
      <c r="B384">
        <v>2014</v>
      </c>
      <c r="C384">
        <v>12</v>
      </c>
      <c r="D384">
        <v>8</v>
      </c>
      <c r="E384" t="s">
        <v>43</v>
      </c>
      <c r="G384">
        <v>0.245</v>
      </c>
      <c r="H384">
        <v>9.4E-2</v>
      </c>
      <c r="I384">
        <v>6.5</v>
      </c>
      <c r="J384">
        <v>1.4</v>
      </c>
      <c r="K384">
        <v>1.74</v>
      </c>
      <c r="L384">
        <v>0.8</v>
      </c>
      <c r="M384">
        <v>32.700000000000003</v>
      </c>
      <c r="N384">
        <v>7.4</v>
      </c>
      <c r="S384">
        <v>37.200000000000003</v>
      </c>
      <c r="T384">
        <v>17.100000000000001</v>
      </c>
      <c r="U384">
        <v>1.89</v>
      </c>
      <c r="V384">
        <v>0.18</v>
      </c>
    </row>
    <row r="385" spans="1:25" x14ac:dyDescent="0.3">
      <c r="A385">
        <v>12.3</v>
      </c>
      <c r="B385">
        <v>2017</v>
      </c>
      <c r="C385">
        <v>12</v>
      </c>
      <c r="D385">
        <v>9</v>
      </c>
      <c r="E385" t="s">
        <v>43</v>
      </c>
      <c r="F385">
        <v>11</v>
      </c>
      <c r="G385">
        <v>0.20599999999999999</v>
      </c>
      <c r="H385">
        <v>3.3000000000000002E-2</v>
      </c>
      <c r="I385">
        <v>7.14</v>
      </c>
      <c r="J385">
        <v>1.61</v>
      </c>
      <c r="K385">
        <v>1.5</v>
      </c>
      <c r="L385">
        <v>0.15</v>
      </c>
      <c r="M385">
        <v>25.9</v>
      </c>
      <c r="N385">
        <v>1.8</v>
      </c>
      <c r="O385">
        <v>235</v>
      </c>
      <c r="P385">
        <v>286</v>
      </c>
      <c r="Q385">
        <v>302</v>
      </c>
      <c r="R385">
        <v>30</v>
      </c>
      <c r="S385">
        <v>41.2</v>
      </c>
      <c r="T385">
        <v>3.6</v>
      </c>
      <c r="U385">
        <v>2.2000000000000002</v>
      </c>
      <c r="V385">
        <v>0.14000000000000001</v>
      </c>
      <c r="W385">
        <v>9</v>
      </c>
      <c r="X385">
        <v>43.2</v>
      </c>
      <c r="Y385">
        <v>7.4</v>
      </c>
    </row>
    <row r="386" spans="1:25" x14ac:dyDescent="0.3">
      <c r="A386">
        <v>12.233333330000001</v>
      </c>
      <c r="B386">
        <v>2017</v>
      </c>
      <c r="C386">
        <v>12</v>
      </c>
      <c r="D386">
        <v>7</v>
      </c>
      <c r="E386" t="s">
        <v>43</v>
      </c>
      <c r="F386">
        <v>13</v>
      </c>
      <c r="G386">
        <v>0.20399999999999999</v>
      </c>
      <c r="H386">
        <v>0.10100000000000001</v>
      </c>
      <c r="I386">
        <v>10.1</v>
      </c>
      <c r="J386">
        <v>1.58</v>
      </c>
      <c r="K386">
        <v>1.91</v>
      </c>
      <c r="L386">
        <v>0.26</v>
      </c>
      <c r="M386">
        <v>21.9</v>
      </c>
      <c r="N386">
        <v>8.5</v>
      </c>
      <c r="O386">
        <v>209</v>
      </c>
      <c r="P386">
        <v>265</v>
      </c>
      <c r="Q386">
        <v>288</v>
      </c>
      <c r="R386">
        <v>36</v>
      </c>
      <c r="S386">
        <v>50.1</v>
      </c>
      <c r="T386">
        <v>6.9</v>
      </c>
      <c r="U386">
        <v>0.46</v>
      </c>
      <c r="V386">
        <v>0.03</v>
      </c>
      <c r="W386">
        <v>7</v>
      </c>
      <c r="X386">
        <v>24.2</v>
      </c>
      <c r="Y386">
        <v>5.3</v>
      </c>
    </row>
    <row r="387" spans="1:25" x14ac:dyDescent="0.3">
      <c r="A387">
        <v>12.266666669999999</v>
      </c>
      <c r="B387">
        <v>2017</v>
      </c>
      <c r="C387">
        <v>12</v>
      </c>
      <c r="D387">
        <v>8</v>
      </c>
      <c r="E387" t="s">
        <v>43</v>
      </c>
      <c r="G387">
        <v>0.183</v>
      </c>
      <c r="H387">
        <v>5.0999999999999997E-2</v>
      </c>
      <c r="I387">
        <v>13.3</v>
      </c>
      <c r="J387">
        <v>1.45</v>
      </c>
      <c r="K387">
        <v>1.84</v>
      </c>
      <c r="L387">
        <v>0.18</v>
      </c>
      <c r="M387">
        <v>19</v>
      </c>
      <c r="N387">
        <v>3.1</v>
      </c>
      <c r="O387">
        <v>267</v>
      </c>
      <c r="P387">
        <v>288</v>
      </c>
      <c r="Q387">
        <v>306</v>
      </c>
      <c r="R387">
        <v>15</v>
      </c>
      <c r="S387">
        <v>57</v>
      </c>
      <c r="T387">
        <v>6.4</v>
      </c>
      <c r="U387">
        <v>0.43</v>
      </c>
      <c r="V387">
        <v>0.02</v>
      </c>
      <c r="W387">
        <v>11.1</v>
      </c>
    </row>
    <row r="388" spans="1:25" x14ac:dyDescent="0.3">
      <c r="A388">
        <v>12.266666669999999</v>
      </c>
      <c r="B388">
        <v>2014</v>
      </c>
      <c r="C388">
        <v>12</v>
      </c>
      <c r="D388">
        <v>8</v>
      </c>
      <c r="E388" t="s">
        <v>43</v>
      </c>
      <c r="G388">
        <v>0.128</v>
      </c>
      <c r="H388">
        <v>3.2000000000000001E-2</v>
      </c>
      <c r="I388">
        <v>6.17</v>
      </c>
      <c r="J388">
        <v>0.79</v>
      </c>
      <c r="K388">
        <v>0.92</v>
      </c>
      <c r="L388">
        <v>0.15</v>
      </c>
      <c r="M388">
        <v>25.7</v>
      </c>
      <c r="N388">
        <v>3.7</v>
      </c>
      <c r="S388">
        <v>41</v>
      </c>
      <c r="T388">
        <v>7.8</v>
      </c>
      <c r="U388">
        <v>1.72</v>
      </c>
      <c r="V388">
        <v>0.13</v>
      </c>
    </row>
    <row r="389" spans="1:25" x14ac:dyDescent="0.3">
      <c r="A389">
        <v>12.266666669999999</v>
      </c>
      <c r="B389">
        <v>2017</v>
      </c>
      <c r="C389">
        <v>12</v>
      </c>
      <c r="D389">
        <v>8</v>
      </c>
      <c r="E389" t="s">
        <v>43</v>
      </c>
      <c r="F389">
        <v>3</v>
      </c>
      <c r="G389">
        <v>0.11799999999999999</v>
      </c>
      <c r="H389">
        <v>1.9E-2</v>
      </c>
      <c r="I389">
        <v>10.9</v>
      </c>
      <c r="J389">
        <v>4.1100000000000003</v>
      </c>
      <c r="K389">
        <v>1.45</v>
      </c>
      <c r="L389">
        <v>7.0000000000000007E-2</v>
      </c>
      <c r="M389">
        <v>18.2</v>
      </c>
      <c r="N389">
        <v>4.4000000000000004</v>
      </c>
      <c r="S389">
        <v>46.1</v>
      </c>
      <c r="T389">
        <v>6.7</v>
      </c>
      <c r="U389">
        <v>0.45</v>
      </c>
      <c r="V389">
        <v>0.04</v>
      </c>
    </row>
    <row r="390" spans="1:25" x14ac:dyDescent="0.3">
      <c r="A390">
        <v>12.266666669999999</v>
      </c>
      <c r="B390">
        <v>2014</v>
      </c>
      <c r="C390">
        <v>12</v>
      </c>
      <c r="D390">
        <v>8</v>
      </c>
      <c r="E390" t="s">
        <v>43</v>
      </c>
      <c r="G390">
        <v>0.09</v>
      </c>
      <c r="H390">
        <v>1.2999999999999999E-2</v>
      </c>
      <c r="I390">
        <v>3.15</v>
      </c>
      <c r="J390">
        <v>0.7</v>
      </c>
      <c r="K390">
        <v>0.52</v>
      </c>
      <c r="L390">
        <v>0.08</v>
      </c>
      <c r="M390">
        <v>36.1</v>
      </c>
      <c r="N390">
        <v>7.5</v>
      </c>
      <c r="S390">
        <v>18.7</v>
      </c>
      <c r="T390">
        <v>2.8</v>
      </c>
      <c r="U390">
        <v>4.63</v>
      </c>
      <c r="V390">
        <v>0.48</v>
      </c>
    </row>
    <row r="391" spans="1:25" x14ac:dyDescent="0.3">
      <c r="A391">
        <v>12.266666669999999</v>
      </c>
      <c r="B391">
        <v>2017</v>
      </c>
      <c r="C391">
        <v>12</v>
      </c>
      <c r="D391">
        <v>8</v>
      </c>
      <c r="E391" t="s">
        <v>43</v>
      </c>
      <c r="F391">
        <v>3</v>
      </c>
      <c r="G391">
        <v>6.8000000000000005E-2</v>
      </c>
      <c r="H391">
        <v>2.7E-2</v>
      </c>
      <c r="I391">
        <v>3.26</v>
      </c>
      <c r="J391">
        <v>0.77</v>
      </c>
      <c r="K391">
        <v>0.76</v>
      </c>
      <c r="L391">
        <v>0.12</v>
      </c>
      <c r="M391">
        <v>19.8</v>
      </c>
      <c r="N391">
        <v>4.3</v>
      </c>
      <c r="S391">
        <v>60.9</v>
      </c>
      <c r="T391">
        <v>7.1</v>
      </c>
      <c r="U391">
        <v>0.38</v>
      </c>
      <c r="V391">
        <v>0.02</v>
      </c>
    </row>
    <row r="392" spans="1:25" x14ac:dyDescent="0.3">
      <c r="A392">
        <v>12.3</v>
      </c>
      <c r="B392">
        <v>2017</v>
      </c>
      <c r="C392">
        <v>12</v>
      </c>
      <c r="D392">
        <v>9</v>
      </c>
      <c r="E392" t="s">
        <v>43</v>
      </c>
      <c r="F392">
        <v>8</v>
      </c>
      <c r="G392">
        <v>6.6000000000000003E-2</v>
      </c>
      <c r="H392">
        <v>3.5999999999999997E-2</v>
      </c>
      <c r="I392">
        <v>12</v>
      </c>
      <c r="J392">
        <v>3.15</v>
      </c>
      <c r="K392">
        <v>1.05</v>
      </c>
      <c r="L392">
        <v>0.2</v>
      </c>
      <c r="M392">
        <v>10.7</v>
      </c>
      <c r="N392">
        <v>3.1</v>
      </c>
      <c r="O392">
        <v>215</v>
      </c>
      <c r="P392">
        <v>273</v>
      </c>
      <c r="Q392">
        <v>297</v>
      </c>
      <c r="R392">
        <v>36</v>
      </c>
      <c r="S392">
        <v>62.7</v>
      </c>
      <c r="T392">
        <v>9</v>
      </c>
      <c r="U392">
        <v>0.28000000000000003</v>
      </c>
      <c r="V392">
        <v>0.01</v>
      </c>
      <c r="W392">
        <v>4.5</v>
      </c>
    </row>
    <row r="393" spans="1:25" x14ac:dyDescent="0.3">
      <c r="A393">
        <v>12.133333329999999</v>
      </c>
      <c r="B393">
        <v>2016</v>
      </c>
      <c r="C393">
        <v>12</v>
      </c>
      <c r="D393">
        <v>4</v>
      </c>
      <c r="E393" t="s">
        <v>43</v>
      </c>
      <c r="X393">
        <v>1.8</v>
      </c>
      <c r="Y393">
        <v>1.6</v>
      </c>
    </row>
  </sheetData>
  <autoFilter ref="C1:C393" xr:uid="{77F1C6FB-54C0-47BB-BD00-B28EC9F492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C8CE-07E4-4464-B063-AA16F072825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Cyclic_avg_sd_NorthernHemispher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Evans</cp:lastModifiedBy>
  <dcterms:created xsi:type="dcterms:W3CDTF">2026-08-24T11:38:20Z</dcterms:created>
  <dcterms:modified xsi:type="dcterms:W3CDTF">2026-08-24T13:32:04Z</dcterms:modified>
</cp:coreProperties>
</file>